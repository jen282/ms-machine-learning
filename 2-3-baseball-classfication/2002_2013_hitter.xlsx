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eung\Downloads\"/>
    </mc:Choice>
  </mc:AlternateContent>
  <xr:revisionPtr revIDLastSave="0" documentId="13_ncr:1_{5A856057-D01F-460D-B765-FCAB286AC6B5}" xr6:coauthVersionLast="47" xr6:coauthVersionMax="47" xr10:uidLastSave="{00000000-0000-0000-0000-000000000000}"/>
  <bookViews>
    <workbookView xWindow="-105" yWindow="0" windowWidth="42855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" i="1" l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AK17" i="1"/>
  <c r="AK18" i="1"/>
  <c r="AK19" i="1"/>
  <c r="AK20" i="1"/>
  <c r="AK21" i="1"/>
  <c r="AK39" i="1"/>
  <c r="AK40" i="1"/>
  <c r="AK57" i="1"/>
  <c r="AK58" i="1"/>
  <c r="AK59" i="1"/>
  <c r="AK60" i="1"/>
  <c r="AK61" i="1"/>
  <c r="AK77" i="1"/>
  <c r="AK78" i="1"/>
  <c r="AK79" i="1"/>
  <c r="AK80" i="1"/>
  <c r="AK81" i="1"/>
  <c r="AK97" i="1"/>
  <c r="AK117" i="1"/>
  <c r="AK118" i="1"/>
  <c r="AK119" i="1"/>
  <c r="AK121" i="1"/>
  <c r="AK137" i="1"/>
  <c r="AK138" i="1"/>
  <c r="AK139" i="1"/>
  <c r="AK140" i="1"/>
  <c r="AK141" i="1"/>
  <c r="AK157" i="1"/>
  <c r="AK158" i="1"/>
  <c r="AK159" i="1"/>
  <c r="AK160" i="1"/>
  <c r="AK161" i="1"/>
  <c r="AK197" i="1"/>
  <c r="AK198" i="1"/>
  <c r="AK199" i="1"/>
  <c r="AK201" i="1"/>
  <c r="AK217" i="1"/>
  <c r="AK218" i="1"/>
  <c r="AK219" i="1"/>
  <c r="AK220" i="1"/>
  <c r="AK221" i="1"/>
  <c r="AK237" i="1"/>
  <c r="AK238" i="1"/>
  <c r="AK239" i="1"/>
  <c r="AK240" i="1"/>
  <c r="AK241" i="1"/>
  <c r="AK277" i="1"/>
  <c r="AK278" i="1"/>
  <c r="AK279" i="1"/>
  <c r="AK281" i="1"/>
  <c r="AK297" i="1"/>
  <c r="AK298" i="1"/>
  <c r="AK299" i="1"/>
  <c r="AK300" i="1"/>
  <c r="AK301" i="1"/>
  <c r="AK317" i="1"/>
  <c r="AK318" i="1"/>
  <c r="AK319" i="1"/>
  <c r="AK320" i="1"/>
  <c r="AK321" i="1"/>
  <c r="AK357" i="1"/>
  <c r="AK358" i="1"/>
  <c r="AK359" i="1"/>
  <c r="AK361" i="1"/>
  <c r="AK377" i="1"/>
  <c r="AK378" i="1"/>
  <c r="AK379" i="1"/>
  <c r="AK380" i="1"/>
  <c r="AK381" i="1"/>
  <c r="AK397" i="1"/>
  <c r="AK398" i="1"/>
  <c r="AK399" i="1"/>
  <c r="AK400" i="1"/>
  <c r="AK401" i="1"/>
  <c r="AK437" i="1"/>
  <c r="AK438" i="1"/>
  <c r="AK439" i="1"/>
  <c r="AK441" i="1"/>
  <c r="AK457" i="1"/>
  <c r="AK458" i="1"/>
  <c r="AK459" i="1"/>
  <c r="AK460" i="1"/>
  <c r="AK461" i="1"/>
  <c r="AK477" i="1"/>
  <c r="AK478" i="1"/>
  <c r="AK479" i="1"/>
  <c r="AK480" i="1"/>
  <c r="AK481" i="1"/>
  <c r="AJ2" i="1"/>
  <c r="AK2" i="1" s="1"/>
  <c r="AJ3" i="1"/>
  <c r="AK3" i="1" s="1"/>
  <c r="AJ4" i="1"/>
  <c r="AK4" i="1" s="1"/>
  <c r="AJ5" i="1"/>
  <c r="AK5" i="1" s="1"/>
  <c r="AJ6" i="1"/>
  <c r="AK6" i="1" s="1"/>
  <c r="AJ7" i="1"/>
  <c r="AK7" i="1" s="1"/>
  <c r="AJ8" i="1"/>
  <c r="AK8" i="1" s="1"/>
  <c r="AJ9" i="1"/>
  <c r="AK9" i="1" s="1"/>
  <c r="AJ10" i="1"/>
  <c r="AK10" i="1" s="1"/>
  <c r="AJ11" i="1"/>
  <c r="AK11" i="1" s="1"/>
  <c r="AJ12" i="1"/>
  <c r="AK12" i="1" s="1"/>
  <c r="AJ13" i="1"/>
  <c r="AK13" i="1" s="1"/>
  <c r="AJ14" i="1"/>
  <c r="AK14" i="1" s="1"/>
  <c r="AJ15" i="1"/>
  <c r="AK15" i="1" s="1"/>
  <c r="AJ16" i="1"/>
  <c r="AK16" i="1" s="1"/>
  <c r="AJ17" i="1"/>
  <c r="AJ18" i="1"/>
  <c r="AJ19" i="1"/>
  <c r="AJ20" i="1"/>
  <c r="AJ21" i="1"/>
  <c r="AJ22" i="1"/>
  <c r="AK22" i="1" s="1"/>
  <c r="AJ23" i="1"/>
  <c r="AK23" i="1" s="1"/>
  <c r="AJ24" i="1"/>
  <c r="AK24" i="1" s="1"/>
  <c r="AJ25" i="1"/>
  <c r="AK25" i="1" s="1"/>
  <c r="AJ26" i="1"/>
  <c r="AK26" i="1" s="1"/>
  <c r="AJ27" i="1"/>
  <c r="AK27" i="1" s="1"/>
  <c r="AJ28" i="1"/>
  <c r="AK28" i="1" s="1"/>
  <c r="AJ29" i="1"/>
  <c r="AK29" i="1" s="1"/>
  <c r="AJ30" i="1"/>
  <c r="AK30" i="1" s="1"/>
  <c r="AJ31" i="1"/>
  <c r="AK31" i="1" s="1"/>
  <c r="AJ32" i="1"/>
  <c r="AK32" i="1" s="1"/>
  <c r="AJ33" i="1"/>
  <c r="AK33" i="1" s="1"/>
  <c r="AJ34" i="1"/>
  <c r="AK34" i="1" s="1"/>
  <c r="AJ35" i="1"/>
  <c r="AK35" i="1" s="1"/>
  <c r="AJ36" i="1"/>
  <c r="AK36" i="1" s="1"/>
  <c r="AJ37" i="1"/>
  <c r="AK37" i="1" s="1"/>
  <c r="AJ38" i="1"/>
  <c r="AK38" i="1" s="1"/>
  <c r="AJ39" i="1"/>
  <c r="AJ40" i="1"/>
  <c r="AJ41" i="1"/>
  <c r="AK41" i="1" s="1"/>
  <c r="AJ42" i="1"/>
  <c r="AK42" i="1" s="1"/>
  <c r="AJ43" i="1"/>
  <c r="AK43" i="1" s="1"/>
  <c r="AJ44" i="1"/>
  <c r="AK44" i="1" s="1"/>
  <c r="AJ45" i="1"/>
  <c r="AK45" i="1" s="1"/>
  <c r="AJ46" i="1"/>
  <c r="AK46" i="1" s="1"/>
  <c r="AJ47" i="1"/>
  <c r="AK47" i="1" s="1"/>
  <c r="AJ48" i="1"/>
  <c r="AK48" i="1" s="1"/>
  <c r="AJ49" i="1"/>
  <c r="AK49" i="1" s="1"/>
  <c r="AJ50" i="1"/>
  <c r="AK50" i="1" s="1"/>
  <c r="AJ51" i="1"/>
  <c r="AK51" i="1" s="1"/>
  <c r="AJ52" i="1"/>
  <c r="AK52" i="1" s="1"/>
  <c r="AJ53" i="1"/>
  <c r="AK53" i="1" s="1"/>
  <c r="AJ54" i="1"/>
  <c r="AK54" i="1" s="1"/>
  <c r="AJ55" i="1"/>
  <c r="AK55" i="1" s="1"/>
  <c r="AJ56" i="1"/>
  <c r="AK56" i="1" s="1"/>
  <c r="AJ57" i="1"/>
  <c r="AJ58" i="1"/>
  <c r="AJ59" i="1"/>
  <c r="AJ60" i="1"/>
  <c r="AJ61" i="1"/>
  <c r="AJ62" i="1"/>
  <c r="AK62" i="1" s="1"/>
  <c r="AJ63" i="1"/>
  <c r="AK63" i="1" s="1"/>
  <c r="AJ64" i="1"/>
  <c r="AK64" i="1" s="1"/>
  <c r="AJ65" i="1"/>
  <c r="AK65" i="1" s="1"/>
  <c r="AJ66" i="1"/>
  <c r="AK66" i="1" s="1"/>
  <c r="AJ67" i="1"/>
  <c r="AK67" i="1" s="1"/>
  <c r="AJ68" i="1"/>
  <c r="AK68" i="1" s="1"/>
  <c r="AJ69" i="1"/>
  <c r="AK69" i="1" s="1"/>
  <c r="AJ70" i="1"/>
  <c r="AK70" i="1" s="1"/>
  <c r="AJ71" i="1"/>
  <c r="AK71" i="1" s="1"/>
  <c r="AJ72" i="1"/>
  <c r="AK72" i="1" s="1"/>
  <c r="AJ73" i="1"/>
  <c r="AK73" i="1" s="1"/>
  <c r="AJ74" i="1"/>
  <c r="AK74" i="1" s="1"/>
  <c r="AJ75" i="1"/>
  <c r="AK75" i="1" s="1"/>
  <c r="AJ76" i="1"/>
  <c r="AK76" i="1" s="1"/>
  <c r="AJ77" i="1"/>
  <c r="AJ78" i="1"/>
  <c r="AJ79" i="1"/>
  <c r="AJ80" i="1"/>
  <c r="AJ81" i="1"/>
  <c r="AJ82" i="1"/>
  <c r="AK82" i="1" s="1"/>
  <c r="AJ83" i="1"/>
  <c r="AK83" i="1" s="1"/>
  <c r="AJ84" i="1"/>
  <c r="AK84" i="1" s="1"/>
  <c r="AJ85" i="1"/>
  <c r="AK85" i="1" s="1"/>
  <c r="AJ86" i="1"/>
  <c r="AK86" i="1" s="1"/>
  <c r="AJ87" i="1"/>
  <c r="AK87" i="1" s="1"/>
  <c r="AJ88" i="1"/>
  <c r="AK88" i="1" s="1"/>
  <c r="AJ89" i="1"/>
  <c r="AK89" i="1" s="1"/>
  <c r="AJ90" i="1"/>
  <c r="AK90" i="1" s="1"/>
  <c r="AJ91" i="1"/>
  <c r="AK91" i="1" s="1"/>
  <c r="AJ92" i="1"/>
  <c r="AK92" i="1" s="1"/>
  <c r="AJ93" i="1"/>
  <c r="AK93" i="1" s="1"/>
  <c r="AJ94" i="1"/>
  <c r="AK94" i="1" s="1"/>
  <c r="AJ95" i="1"/>
  <c r="AK95" i="1" s="1"/>
  <c r="AJ96" i="1"/>
  <c r="AK96" i="1" s="1"/>
  <c r="AJ97" i="1"/>
  <c r="AJ98" i="1"/>
  <c r="AK98" i="1" s="1"/>
  <c r="AJ99" i="1"/>
  <c r="AK99" i="1" s="1"/>
  <c r="AJ100" i="1"/>
  <c r="AK100" i="1" s="1"/>
  <c r="AJ101" i="1"/>
  <c r="AK101" i="1" s="1"/>
  <c r="AJ102" i="1"/>
  <c r="AK102" i="1" s="1"/>
  <c r="AJ103" i="1"/>
  <c r="AK103" i="1" s="1"/>
  <c r="AJ104" i="1"/>
  <c r="AK104" i="1" s="1"/>
  <c r="AJ105" i="1"/>
  <c r="AK105" i="1" s="1"/>
  <c r="AJ106" i="1"/>
  <c r="AK106" i="1" s="1"/>
  <c r="AJ107" i="1"/>
  <c r="AK107" i="1" s="1"/>
  <c r="AJ108" i="1"/>
  <c r="AK108" i="1" s="1"/>
  <c r="AJ109" i="1"/>
  <c r="AK109" i="1" s="1"/>
  <c r="AJ110" i="1"/>
  <c r="AK110" i="1" s="1"/>
  <c r="AJ111" i="1"/>
  <c r="AK111" i="1" s="1"/>
  <c r="AJ112" i="1"/>
  <c r="AK112" i="1" s="1"/>
  <c r="AJ113" i="1"/>
  <c r="AK113" i="1" s="1"/>
  <c r="AJ114" i="1"/>
  <c r="AK114" i="1" s="1"/>
  <c r="AJ115" i="1"/>
  <c r="AK115" i="1" s="1"/>
  <c r="AJ116" i="1"/>
  <c r="AK116" i="1" s="1"/>
  <c r="AJ117" i="1"/>
  <c r="AJ118" i="1"/>
  <c r="AJ119" i="1"/>
  <c r="AJ120" i="1"/>
  <c r="AK120" i="1" s="1"/>
  <c r="AJ121" i="1"/>
  <c r="AJ122" i="1"/>
  <c r="AK122" i="1" s="1"/>
  <c r="AJ123" i="1"/>
  <c r="AK123" i="1" s="1"/>
  <c r="AJ124" i="1"/>
  <c r="AK124" i="1" s="1"/>
  <c r="AJ125" i="1"/>
  <c r="AK125" i="1" s="1"/>
  <c r="AJ126" i="1"/>
  <c r="AK126" i="1" s="1"/>
  <c r="AJ127" i="1"/>
  <c r="AK127" i="1" s="1"/>
  <c r="AJ128" i="1"/>
  <c r="AK128" i="1" s="1"/>
  <c r="AJ129" i="1"/>
  <c r="AK129" i="1" s="1"/>
  <c r="AJ130" i="1"/>
  <c r="AK130" i="1" s="1"/>
  <c r="AJ131" i="1"/>
  <c r="AK131" i="1" s="1"/>
  <c r="AJ132" i="1"/>
  <c r="AK132" i="1" s="1"/>
  <c r="AJ133" i="1"/>
  <c r="AK133" i="1" s="1"/>
  <c r="AJ134" i="1"/>
  <c r="AK134" i="1" s="1"/>
  <c r="AJ135" i="1"/>
  <c r="AK135" i="1" s="1"/>
  <c r="AJ136" i="1"/>
  <c r="AK136" i="1" s="1"/>
  <c r="AJ137" i="1"/>
  <c r="AJ138" i="1"/>
  <c r="AJ139" i="1"/>
  <c r="AJ140" i="1"/>
  <c r="AJ141" i="1"/>
  <c r="AJ142" i="1"/>
  <c r="AK142" i="1" s="1"/>
  <c r="AJ143" i="1"/>
  <c r="AK143" i="1" s="1"/>
  <c r="AJ144" i="1"/>
  <c r="AK144" i="1" s="1"/>
  <c r="AJ145" i="1"/>
  <c r="AK145" i="1" s="1"/>
  <c r="AJ146" i="1"/>
  <c r="AK146" i="1" s="1"/>
  <c r="AJ147" i="1"/>
  <c r="AK147" i="1" s="1"/>
  <c r="AJ148" i="1"/>
  <c r="AK148" i="1" s="1"/>
  <c r="AJ149" i="1"/>
  <c r="AK149" i="1" s="1"/>
  <c r="AJ150" i="1"/>
  <c r="AK150" i="1" s="1"/>
  <c r="AJ151" i="1"/>
  <c r="AK151" i="1" s="1"/>
  <c r="AJ152" i="1"/>
  <c r="AK152" i="1" s="1"/>
  <c r="AJ153" i="1"/>
  <c r="AK153" i="1" s="1"/>
  <c r="AJ154" i="1"/>
  <c r="AK154" i="1" s="1"/>
  <c r="AJ155" i="1"/>
  <c r="AK155" i="1" s="1"/>
  <c r="AJ156" i="1"/>
  <c r="AK156" i="1" s="1"/>
  <c r="AJ157" i="1"/>
  <c r="AJ158" i="1"/>
  <c r="AJ159" i="1"/>
  <c r="AJ160" i="1"/>
  <c r="AJ161" i="1"/>
  <c r="AJ162" i="1"/>
  <c r="AK162" i="1" s="1"/>
  <c r="AJ163" i="1"/>
  <c r="AK163" i="1" s="1"/>
  <c r="AJ164" i="1"/>
  <c r="AK164" i="1" s="1"/>
  <c r="AJ165" i="1"/>
  <c r="AK165" i="1" s="1"/>
  <c r="AJ166" i="1"/>
  <c r="AK166" i="1" s="1"/>
  <c r="AJ167" i="1"/>
  <c r="AK167" i="1" s="1"/>
  <c r="AJ168" i="1"/>
  <c r="AK168" i="1" s="1"/>
  <c r="AJ169" i="1"/>
  <c r="AK169" i="1" s="1"/>
  <c r="AJ170" i="1"/>
  <c r="AK170" i="1" s="1"/>
  <c r="AJ171" i="1"/>
  <c r="AK171" i="1" s="1"/>
  <c r="AJ172" i="1"/>
  <c r="AK172" i="1" s="1"/>
  <c r="AJ173" i="1"/>
  <c r="AK173" i="1" s="1"/>
  <c r="AJ174" i="1"/>
  <c r="AK174" i="1" s="1"/>
  <c r="AJ175" i="1"/>
  <c r="AK175" i="1" s="1"/>
  <c r="AJ176" i="1"/>
  <c r="AK176" i="1" s="1"/>
  <c r="AJ177" i="1"/>
  <c r="AK177" i="1" s="1"/>
  <c r="AJ178" i="1"/>
  <c r="AK178" i="1" s="1"/>
  <c r="AJ179" i="1"/>
  <c r="AK179" i="1" s="1"/>
  <c r="AJ180" i="1"/>
  <c r="AK180" i="1" s="1"/>
  <c r="AJ181" i="1"/>
  <c r="AK181" i="1" s="1"/>
  <c r="AJ182" i="1"/>
  <c r="AK182" i="1" s="1"/>
  <c r="AJ183" i="1"/>
  <c r="AK183" i="1" s="1"/>
  <c r="AJ184" i="1"/>
  <c r="AK184" i="1" s="1"/>
  <c r="AJ185" i="1"/>
  <c r="AK185" i="1" s="1"/>
  <c r="AJ186" i="1"/>
  <c r="AK186" i="1" s="1"/>
  <c r="AJ187" i="1"/>
  <c r="AK187" i="1" s="1"/>
  <c r="AJ188" i="1"/>
  <c r="AK188" i="1" s="1"/>
  <c r="AJ189" i="1"/>
  <c r="AK189" i="1" s="1"/>
  <c r="AJ190" i="1"/>
  <c r="AK190" i="1" s="1"/>
  <c r="AJ191" i="1"/>
  <c r="AK191" i="1" s="1"/>
  <c r="AJ192" i="1"/>
  <c r="AK192" i="1" s="1"/>
  <c r="AJ193" i="1"/>
  <c r="AK193" i="1" s="1"/>
  <c r="AJ194" i="1"/>
  <c r="AK194" i="1" s="1"/>
  <c r="AJ195" i="1"/>
  <c r="AK195" i="1" s="1"/>
  <c r="AJ196" i="1"/>
  <c r="AK196" i="1" s="1"/>
  <c r="AJ197" i="1"/>
  <c r="AJ198" i="1"/>
  <c r="AJ199" i="1"/>
  <c r="AJ200" i="1"/>
  <c r="AK200" i="1" s="1"/>
  <c r="AJ201" i="1"/>
  <c r="AJ202" i="1"/>
  <c r="AK202" i="1" s="1"/>
  <c r="AJ203" i="1"/>
  <c r="AK203" i="1" s="1"/>
  <c r="AJ204" i="1"/>
  <c r="AK204" i="1" s="1"/>
  <c r="AJ205" i="1"/>
  <c r="AK205" i="1" s="1"/>
  <c r="AJ206" i="1"/>
  <c r="AK206" i="1" s="1"/>
  <c r="AJ207" i="1"/>
  <c r="AK207" i="1" s="1"/>
  <c r="AJ208" i="1"/>
  <c r="AK208" i="1" s="1"/>
  <c r="AJ209" i="1"/>
  <c r="AK209" i="1" s="1"/>
  <c r="AJ210" i="1"/>
  <c r="AK210" i="1" s="1"/>
  <c r="AJ211" i="1"/>
  <c r="AK211" i="1" s="1"/>
  <c r="AJ212" i="1"/>
  <c r="AK212" i="1" s="1"/>
  <c r="AJ213" i="1"/>
  <c r="AK213" i="1" s="1"/>
  <c r="AJ214" i="1"/>
  <c r="AK214" i="1" s="1"/>
  <c r="AJ215" i="1"/>
  <c r="AK215" i="1" s="1"/>
  <c r="AJ216" i="1"/>
  <c r="AK216" i="1" s="1"/>
  <c r="AJ217" i="1"/>
  <c r="AJ218" i="1"/>
  <c r="AJ219" i="1"/>
  <c r="AJ220" i="1"/>
  <c r="AJ221" i="1"/>
  <c r="AJ222" i="1"/>
  <c r="AK222" i="1" s="1"/>
  <c r="AJ223" i="1"/>
  <c r="AK223" i="1" s="1"/>
  <c r="AJ224" i="1"/>
  <c r="AK224" i="1" s="1"/>
  <c r="AJ225" i="1"/>
  <c r="AK225" i="1" s="1"/>
  <c r="AJ226" i="1"/>
  <c r="AK226" i="1" s="1"/>
  <c r="AJ227" i="1"/>
  <c r="AK227" i="1" s="1"/>
  <c r="AJ228" i="1"/>
  <c r="AK228" i="1" s="1"/>
  <c r="AJ229" i="1"/>
  <c r="AK229" i="1" s="1"/>
  <c r="AJ230" i="1"/>
  <c r="AK230" i="1" s="1"/>
  <c r="AJ231" i="1"/>
  <c r="AK231" i="1" s="1"/>
  <c r="AJ232" i="1"/>
  <c r="AK232" i="1" s="1"/>
  <c r="AJ233" i="1"/>
  <c r="AK233" i="1" s="1"/>
  <c r="AJ234" i="1"/>
  <c r="AK234" i="1" s="1"/>
  <c r="AJ235" i="1"/>
  <c r="AK235" i="1" s="1"/>
  <c r="AJ236" i="1"/>
  <c r="AK236" i="1" s="1"/>
  <c r="AJ237" i="1"/>
  <c r="AJ238" i="1"/>
  <c r="AJ239" i="1"/>
  <c r="AJ240" i="1"/>
  <c r="AJ241" i="1"/>
  <c r="AJ242" i="1"/>
  <c r="AK242" i="1" s="1"/>
  <c r="AJ243" i="1"/>
  <c r="AK243" i="1" s="1"/>
  <c r="AJ244" i="1"/>
  <c r="AK244" i="1" s="1"/>
  <c r="AJ245" i="1"/>
  <c r="AK245" i="1" s="1"/>
  <c r="AJ246" i="1"/>
  <c r="AK246" i="1" s="1"/>
  <c r="AJ247" i="1"/>
  <c r="AK247" i="1" s="1"/>
  <c r="AJ248" i="1"/>
  <c r="AK248" i="1" s="1"/>
  <c r="AJ249" i="1"/>
  <c r="AK249" i="1" s="1"/>
  <c r="AJ250" i="1"/>
  <c r="AK250" i="1" s="1"/>
  <c r="AJ251" i="1"/>
  <c r="AK251" i="1" s="1"/>
  <c r="AJ252" i="1"/>
  <c r="AK252" i="1" s="1"/>
  <c r="AJ253" i="1"/>
  <c r="AK253" i="1" s="1"/>
  <c r="AJ254" i="1"/>
  <c r="AK254" i="1" s="1"/>
  <c r="AJ255" i="1"/>
  <c r="AK255" i="1" s="1"/>
  <c r="AJ256" i="1"/>
  <c r="AK256" i="1" s="1"/>
  <c r="AJ257" i="1"/>
  <c r="AK257" i="1" s="1"/>
  <c r="AJ258" i="1"/>
  <c r="AK258" i="1" s="1"/>
  <c r="AJ259" i="1"/>
  <c r="AK259" i="1" s="1"/>
  <c r="AJ260" i="1"/>
  <c r="AK260" i="1" s="1"/>
  <c r="AJ261" i="1"/>
  <c r="AK261" i="1" s="1"/>
  <c r="AJ262" i="1"/>
  <c r="AK262" i="1" s="1"/>
  <c r="AJ263" i="1"/>
  <c r="AK263" i="1" s="1"/>
  <c r="AJ264" i="1"/>
  <c r="AK264" i="1" s="1"/>
  <c r="AJ265" i="1"/>
  <c r="AK265" i="1" s="1"/>
  <c r="AJ266" i="1"/>
  <c r="AK266" i="1" s="1"/>
  <c r="AJ267" i="1"/>
  <c r="AK267" i="1" s="1"/>
  <c r="AJ268" i="1"/>
  <c r="AK268" i="1" s="1"/>
  <c r="AJ269" i="1"/>
  <c r="AK269" i="1" s="1"/>
  <c r="AJ270" i="1"/>
  <c r="AK270" i="1" s="1"/>
  <c r="AJ271" i="1"/>
  <c r="AK271" i="1" s="1"/>
  <c r="AJ272" i="1"/>
  <c r="AK272" i="1" s="1"/>
  <c r="AJ273" i="1"/>
  <c r="AK273" i="1" s="1"/>
  <c r="AJ274" i="1"/>
  <c r="AK274" i="1" s="1"/>
  <c r="AJ275" i="1"/>
  <c r="AK275" i="1" s="1"/>
  <c r="AJ276" i="1"/>
  <c r="AK276" i="1" s="1"/>
  <c r="AJ277" i="1"/>
  <c r="AJ278" i="1"/>
  <c r="AJ279" i="1"/>
  <c r="AJ280" i="1"/>
  <c r="AK280" i="1" s="1"/>
  <c r="AJ281" i="1"/>
  <c r="AJ282" i="1"/>
  <c r="AK282" i="1" s="1"/>
  <c r="AJ283" i="1"/>
  <c r="AK283" i="1" s="1"/>
  <c r="AJ284" i="1"/>
  <c r="AK284" i="1" s="1"/>
  <c r="AJ285" i="1"/>
  <c r="AK285" i="1" s="1"/>
  <c r="AJ286" i="1"/>
  <c r="AK286" i="1" s="1"/>
  <c r="AJ287" i="1"/>
  <c r="AK287" i="1" s="1"/>
  <c r="AJ288" i="1"/>
  <c r="AK288" i="1" s="1"/>
  <c r="AJ289" i="1"/>
  <c r="AK289" i="1" s="1"/>
  <c r="AJ290" i="1"/>
  <c r="AK290" i="1" s="1"/>
  <c r="AJ291" i="1"/>
  <c r="AK291" i="1" s="1"/>
  <c r="AJ292" i="1"/>
  <c r="AK292" i="1" s="1"/>
  <c r="AJ293" i="1"/>
  <c r="AK293" i="1" s="1"/>
  <c r="AJ294" i="1"/>
  <c r="AK294" i="1" s="1"/>
  <c r="AJ295" i="1"/>
  <c r="AK295" i="1" s="1"/>
  <c r="AJ296" i="1"/>
  <c r="AK296" i="1" s="1"/>
  <c r="AJ297" i="1"/>
  <c r="AJ298" i="1"/>
  <c r="AJ299" i="1"/>
  <c r="AJ300" i="1"/>
  <c r="AJ301" i="1"/>
  <c r="AJ302" i="1"/>
  <c r="AK302" i="1" s="1"/>
  <c r="AJ303" i="1"/>
  <c r="AK303" i="1" s="1"/>
  <c r="AJ304" i="1"/>
  <c r="AK304" i="1" s="1"/>
  <c r="AJ305" i="1"/>
  <c r="AK305" i="1" s="1"/>
  <c r="AJ306" i="1"/>
  <c r="AK306" i="1" s="1"/>
  <c r="AJ307" i="1"/>
  <c r="AK307" i="1" s="1"/>
  <c r="AJ308" i="1"/>
  <c r="AK308" i="1" s="1"/>
  <c r="AJ309" i="1"/>
  <c r="AK309" i="1" s="1"/>
  <c r="AJ310" i="1"/>
  <c r="AK310" i="1" s="1"/>
  <c r="AJ311" i="1"/>
  <c r="AK311" i="1" s="1"/>
  <c r="AJ312" i="1"/>
  <c r="AK312" i="1" s="1"/>
  <c r="AJ313" i="1"/>
  <c r="AK313" i="1" s="1"/>
  <c r="AJ314" i="1"/>
  <c r="AK314" i="1" s="1"/>
  <c r="AJ315" i="1"/>
  <c r="AK315" i="1" s="1"/>
  <c r="AJ316" i="1"/>
  <c r="AK316" i="1" s="1"/>
  <c r="AJ317" i="1"/>
  <c r="AJ318" i="1"/>
  <c r="AJ319" i="1"/>
  <c r="AJ320" i="1"/>
  <c r="AJ321" i="1"/>
  <c r="AJ322" i="1"/>
  <c r="AK322" i="1" s="1"/>
  <c r="AJ323" i="1"/>
  <c r="AK323" i="1" s="1"/>
  <c r="AJ324" i="1"/>
  <c r="AK324" i="1" s="1"/>
  <c r="AJ325" i="1"/>
  <c r="AK325" i="1" s="1"/>
  <c r="AJ326" i="1"/>
  <c r="AK326" i="1" s="1"/>
  <c r="AJ327" i="1"/>
  <c r="AK327" i="1" s="1"/>
  <c r="AJ328" i="1"/>
  <c r="AK328" i="1" s="1"/>
  <c r="AJ329" i="1"/>
  <c r="AK329" i="1" s="1"/>
  <c r="AJ330" i="1"/>
  <c r="AK330" i="1" s="1"/>
  <c r="AJ331" i="1"/>
  <c r="AK331" i="1" s="1"/>
  <c r="AJ332" i="1"/>
  <c r="AK332" i="1" s="1"/>
  <c r="AJ333" i="1"/>
  <c r="AK333" i="1" s="1"/>
  <c r="AJ334" i="1"/>
  <c r="AK334" i="1" s="1"/>
  <c r="AJ335" i="1"/>
  <c r="AK335" i="1" s="1"/>
  <c r="AJ336" i="1"/>
  <c r="AK336" i="1" s="1"/>
  <c r="AJ337" i="1"/>
  <c r="AK337" i="1" s="1"/>
  <c r="AJ338" i="1"/>
  <c r="AK338" i="1" s="1"/>
  <c r="AJ339" i="1"/>
  <c r="AK339" i="1" s="1"/>
  <c r="AJ340" i="1"/>
  <c r="AK340" i="1" s="1"/>
  <c r="AJ341" i="1"/>
  <c r="AK341" i="1" s="1"/>
  <c r="AJ342" i="1"/>
  <c r="AK342" i="1" s="1"/>
  <c r="AJ343" i="1"/>
  <c r="AK343" i="1" s="1"/>
  <c r="AJ344" i="1"/>
  <c r="AK344" i="1" s="1"/>
  <c r="AJ345" i="1"/>
  <c r="AK345" i="1" s="1"/>
  <c r="AJ346" i="1"/>
  <c r="AK346" i="1" s="1"/>
  <c r="AJ347" i="1"/>
  <c r="AK347" i="1" s="1"/>
  <c r="AJ348" i="1"/>
  <c r="AK348" i="1" s="1"/>
  <c r="AJ349" i="1"/>
  <c r="AK349" i="1" s="1"/>
  <c r="AJ350" i="1"/>
  <c r="AK350" i="1" s="1"/>
  <c r="AJ351" i="1"/>
  <c r="AK351" i="1" s="1"/>
  <c r="AJ352" i="1"/>
  <c r="AK352" i="1" s="1"/>
  <c r="AJ353" i="1"/>
  <c r="AK353" i="1" s="1"/>
  <c r="AJ354" i="1"/>
  <c r="AK354" i="1" s="1"/>
  <c r="AJ355" i="1"/>
  <c r="AK355" i="1" s="1"/>
  <c r="AJ356" i="1"/>
  <c r="AK356" i="1" s="1"/>
  <c r="AJ357" i="1"/>
  <c r="AJ358" i="1"/>
  <c r="AJ359" i="1"/>
  <c r="AJ360" i="1"/>
  <c r="AK360" i="1" s="1"/>
  <c r="AJ361" i="1"/>
  <c r="AJ362" i="1"/>
  <c r="AK362" i="1" s="1"/>
  <c r="AJ363" i="1"/>
  <c r="AK363" i="1" s="1"/>
  <c r="AJ364" i="1"/>
  <c r="AK364" i="1" s="1"/>
  <c r="AJ365" i="1"/>
  <c r="AK365" i="1" s="1"/>
  <c r="AJ366" i="1"/>
  <c r="AK366" i="1" s="1"/>
  <c r="AJ367" i="1"/>
  <c r="AK367" i="1" s="1"/>
  <c r="AJ368" i="1"/>
  <c r="AK368" i="1" s="1"/>
  <c r="AJ369" i="1"/>
  <c r="AK369" i="1" s="1"/>
  <c r="AJ370" i="1"/>
  <c r="AK370" i="1" s="1"/>
  <c r="AJ371" i="1"/>
  <c r="AK371" i="1" s="1"/>
  <c r="AJ372" i="1"/>
  <c r="AK372" i="1" s="1"/>
  <c r="AJ373" i="1"/>
  <c r="AK373" i="1" s="1"/>
  <c r="AJ374" i="1"/>
  <c r="AK374" i="1" s="1"/>
  <c r="AJ375" i="1"/>
  <c r="AK375" i="1" s="1"/>
  <c r="AJ376" i="1"/>
  <c r="AK376" i="1" s="1"/>
  <c r="AJ377" i="1"/>
  <c r="AJ378" i="1"/>
  <c r="AJ379" i="1"/>
  <c r="AJ380" i="1"/>
  <c r="AJ381" i="1"/>
  <c r="AJ382" i="1"/>
  <c r="AK382" i="1" s="1"/>
  <c r="AJ383" i="1"/>
  <c r="AK383" i="1" s="1"/>
  <c r="AJ384" i="1"/>
  <c r="AK384" i="1" s="1"/>
  <c r="AJ385" i="1"/>
  <c r="AK385" i="1" s="1"/>
  <c r="AJ386" i="1"/>
  <c r="AK386" i="1" s="1"/>
  <c r="AJ387" i="1"/>
  <c r="AK387" i="1" s="1"/>
  <c r="AJ388" i="1"/>
  <c r="AK388" i="1" s="1"/>
  <c r="AJ389" i="1"/>
  <c r="AK389" i="1" s="1"/>
  <c r="AJ390" i="1"/>
  <c r="AK390" i="1" s="1"/>
  <c r="AJ391" i="1"/>
  <c r="AK391" i="1" s="1"/>
  <c r="AJ392" i="1"/>
  <c r="AK392" i="1" s="1"/>
  <c r="AJ393" i="1"/>
  <c r="AK393" i="1" s="1"/>
  <c r="AJ394" i="1"/>
  <c r="AK394" i="1" s="1"/>
  <c r="AJ395" i="1"/>
  <c r="AK395" i="1" s="1"/>
  <c r="AJ396" i="1"/>
  <c r="AK396" i="1" s="1"/>
  <c r="AJ397" i="1"/>
  <c r="AJ398" i="1"/>
  <c r="AJ399" i="1"/>
  <c r="AJ400" i="1"/>
  <c r="AJ401" i="1"/>
  <c r="AJ402" i="1"/>
  <c r="AK402" i="1" s="1"/>
  <c r="AJ403" i="1"/>
  <c r="AK403" i="1" s="1"/>
  <c r="AJ404" i="1"/>
  <c r="AK404" i="1" s="1"/>
  <c r="AJ405" i="1"/>
  <c r="AK405" i="1" s="1"/>
  <c r="AJ406" i="1"/>
  <c r="AK406" i="1" s="1"/>
  <c r="AJ407" i="1"/>
  <c r="AK407" i="1" s="1"/>
  <c r="AJ408" i="1"/>
  <c r="AK408" i="1" s="1"/>
  <c r="AJ409" i="1"/>
  <c r="AK409" i="1" s="1"/>
  <c r="AJ410" i="1"/>
  <c r="AK410" i="1" s="1"/>
  <c r="AJ411" i="1"/>
  <c r="AK411" i="1" s="1"/>
  <c r="AJ412" i="1"/>
  <c r="AK412" i="1" s="1"/>
  <c r="AJ413" i="1"/>
  <c r="AK413" i="1" s="1"/>
  <c r="AJ414" i="1"/>
  <c r="AK414" i="1" s="1"/>
  <c r="AJ415" i="1"/>
  <c r="AK415" i="1" s="1"/>
  <c r="AJ416" i="1"/>
  <c r="AK416" i="1" s="1"/>
  <c r="AJ417" i="1"/>
  <c r="AK417" i="1" s="1"/>
  <c r="AJ418" i="1"/>
  <c r="AK418" i="1" s="1"/>
  <c r="AJ419" i="1"/>
  <c r="AK419" i="1" s="1"/>
  <c r="AJ420" i="1"/>
  <c r="AK420" i="1" s="1"/>
  <c r="AJ421" i="1"/>
  <c r="AK421" i="1" s="1"/>
  <c r="AJ422" i="1"/>
  <c r="AK422" i="1" s="1"/>
  <c r="AJ423" i="1"/>
  <c r="AK423" i="1" s="1"/>
  <c r="AJ424" i="1"/>
  <c r="AK424" i="1" s="1"/>
  <c r="AJ425" i="1"/>
  <c r="AK425" i="1" s="1"/>
  <c r="AJ426" i="1"/>
  <c r="AK426" i="1" s="1"/>
  <c r="AJ427" i="1"/>
  <c r="AK427" i="1" s="1"/>
  <c r="AJ428" i="1"/>
  <c r="AK428" i="1" s="1"/>
  <c r="AJ429" i="1"/>
  <c r="AK429" i="1" s="1"/>
  <c r="AJ430" i="1"/>
  <c r="AK430" i="1" s="1"/>
  <c r="AJ431" i="1"/>
  <c r="AK431" i="1" s="1"/>
  <c r="AJ432" i="1"/>
  <c r="AK432" i="1" s="1"/>
  <c r="AJ433" i="1"/>
  <c r="AK433" i="1" s="1"/>
  <c r="AJ434" i="1"/>
  <c r="AK434" i="1" s="1"/>
  <c r="AJ435" i="1"/>
  <c r="AK435" i="1" s="1"/>
  <c r="AJ436" i="1"/>
  <c r="AK436" i="1" s="1"/>
  <c r="AJ437" i="1"/>
  <c r="AJ438" i="1"/>
  <c r="AJ439" i="1"/>
  <c r="AJ440" i="1"/>
  <c r="AK440" i="1" s="1"/>
  <c r="AJ441" i="1"/>
  <c r="AJ442" i="1"/>
  <c r="AK442" i="1" s="1"/>
  <c r="AJ443" i="1"/>
  <c r="AK443" i="1" s="1"/>
  <c r="AJ444" i="1"/>
  <c r="AK444" i="1" s="1"/>
  <c r="AJ445" i="1"/>
  <c r="AK445" i="1" s="1"/>
  <c r="AJ446" i="1"/>
  <c r="AK446" i="1" s="1"/>
  <c r="AJ447" i="1"/>
  <c r="AK447" i="1" s="1"/>
  <c r="AJ448" i="1"/>
  <c r="AK448" i="1" s="1"/>
  <c r="AJ449" i="1"/>
  <c r="AK449" i="1" s="1"/>
  <c r="AJ450" i="1"/>
  <c r="AK450" i="1" s="1"/>
  <c r="AJ451" i="1"/>
  <c r="AK451" i="1" s="1"/>
  <c r="AJ452" i="1"/>
  <c r="AK452" i="1" s="1"/>
  <c r="AJ453" i="1"/>
  <c r="AK453" i="1" s="1"/>
  <c r="AJ454" i="1"/>
  <c r="AK454" i="1" s="1"/>
  <c r="AJ455" i="1"/>
  <c r="AK455" i="1" s="1"/>
  <c r="AJ456" i="1"/>
  <c r="AK456" i="1" s="1"/>
  <c r="AJ457" i="1"/>
  <c r="AJ458" i="1"/>
  <c r="AJ459" i="1"/>
  <c r="AJ460" i="1"/>
  <c r="AJ461" i="1"/>
  <c r="AJ462" i="1"/>
  <c r="AK462" i="1" s="1"/>
  <c r="AJ463" i="1"/>
  <c r="AK463" i="1" s="1"/>
  <c r="AJ464" i="1"/>
  <c r="AK464" i="1" s="1"/>
  <c r="AJ465" i="1"/>
  <c r="AK465" i="1" s="1"/>
  <c r="AJ466" i="1"/>
  <c r="AK466" i="1" s="1"/>
  <c r="AJ467" i="1"/>
  <c r="AK467" i="1" s="1"/>
  <c r="AJ468" i="1"/>
  <c r="AK468" i="1" s="1"/>
  <c r="AJ469" i="1"/>
  <c r="AK469" i="1" s="1"/>
  <c r="AJ470" i="1"/>
  <c r="AK470" i="1" s="1"/>
  <c r="AJ471" i="1"/>
  <c r="AK471" i="1" s="1"/>
  <c r="AJ472" i="1"/>
  <c r="AK472" i="1" s="1"/>
  <c r="AJ473" i="1"/>
  <c r="AK473" i="1" s="1"/>
  <c r="AJ474" i="1"/>
  <c r="AK474" i="1" s="1"/>
  <c r="AJ475" i="1"/>
  <c r="AK475" i="1" s="1"/>
  <c r="AJ476" i="1"/>
  <c r="AK476" i="1" s="1"/>
  <c r="AJ477" i="1"/>
  <c r="AJ478" i="1"/>
  <c r="AJ479" i="1"/>
  <c r="AJ480" i="1"/>
  <c r="AJ481" i="1"/>
  <c r="AJ482" i="1"/>
  <c r="AK482" i="1" s="1"/>
  <c r="AJ483" i="1"/>
  <c r="AK483" i="1" s="1"/>
  <c r="AJ484" i="1"/>
  <c r="AK484" i="1" s="1"/>
  <c r="AJ485" i="1"/>
  <c r="AK485" i="1" s="1"/>
  <c r="AJ486" i="1"/>
  <c r="AK486" i="1" s="1"/>
  <c r="AJ487" i="1"/>
  <c r="AK487" i="1" s="1"/>
  <c r="AJ488" i="1"/>
  <c r="AK488" i="1" s="1"/>
  <c r="AJ489" i="1"/>
  <c r="AK489" i="1" s="1"/>
  <c r="AJ490" i="1"/>
  <c r="AK490" i="1" s="1"/>
  <c r="AJ491" i="1"/>
  <c r="AK491" i="1" s="1"/>
  <c r="AJ492" i="1"/>
  <c r="AK492" i="1" s="1"/>
  <c r="AJ493" i="1"/>
  <c r="AK493" i="1" s="1"/>
  <c r="AJ494" i="1"/>
  <c r="AK494" i="1" s="1"/>
  <c r="AJ495" i="1"/>
  <c r="AK495" i="1" s="1"/>
  <c r="AJ496" i="1"/>
  <c r="AK496" i="1" s="1"/>
  <c r="AJ497" i="1"/>
  <c r="AK497" i="1" s="1"/>
  <c r="AJ498" i="1"/>
  <c r="AK498" i="1" s="1"/>
  <c r="AJ499" i="1"/>
  <c r="AK499" i="1" s="1"/>
  <c r="AJ500" i="1"/>
  <c r="AK500" i="1" s="1"/>
  <c r="AJ501" i="1"/>
  <c r="AK501" i="1" s="1"/>
  <c r="AJ502" i="1"/>
  <c r="AK502" i="1" s="1"/>
  <c r="AJ503" i="1"/>
  <c r="AK503" i="1" s="1"/>
  <c r="AJ504" i="1"/>
  <c r="AK504" i="1" s="1"/>
  <c r="AJ505" i="1"/>
  <c r="AK505" i="1" s="1"/>
  <c r="AJ506" i="1"/>
  <c r="AK506" i="1" s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</calcChain>
</file>

<file path=xl/sharedStrings.xml><?xml version="1.0" encoding="utf-8"?>
<sst xmlns="http://schemas.openxmlformats.org/spreadsheetml/2006/main" count="1049" uniqueCount="249">
  <si>
    <t>김동주</t>
  </si>
  <si>
    <t>두산</t>
  </si>
  <si>
    <t>심정수</t>
  </si>
  <si>
    <t>현대</t>
  </si>
  <si>
    <t>안경현</t>
  </si>
  <si>
    <t>양준혁</t>
  </si>
  <si>
    <t>삼성</t>
  </si>
  <si>
    <t>이진영</t>
  </si>
  <si>
    <t>SK</t>
  </si>
  <si>
    <t>박한이</t>
  </si>
  <si>
    <t>김태균</t>
  </si>
  <si>
    <t>한화</t>
  </si>
  <si>
    <t>장성호</t>
  </si>
  <si>
    <t>KIA</t>
  </si>
  <si>
    <t>이종범</t>
  </si>
  <si>
    <t>김동수</t>
  </si>
  <si>
    <t>조성환</t>
  </si>
  <si>
    <t>롯데</t>
  </si>
  <si>
    <t>박재홍</t>
  </si>
  <si>
    <t>이승엽</t>
  </si>
  <si>
    <t>이영우</t>
  </si>
  <si>
    <t>김한수</t>
  </si>
  <si>
    <t>이숭용</t>
  </si>
  <si>
    <t>박종호</t>
  </si>
  <si>
    <t>마해영</t>
  </si>
  <si>
    <t>장원진</t>
  </si>
  <si>
    <t>진갑용</t>
  </si>
  <si>
    <t>이호준</t>
  </si>
  <si>
    <t>홍세완</t>
  </si>
  <si>
    <t>디아즈</t>
  </si>
  <si>
    <t>조경환</t>
  </si>
  <si>
    <t>박진만</t>
  </si>
  <si>
    <t>조원우</t>
  </si>
  <si>
    <t>김상훈</t>
  </si>
  <si>
    <t>홍원기</t>
  </si>
  <si>
    <t>마르티네스</t>
  </si>
  <si>
    <t>LG</t>
  </si>
  <si>
    <t>정경배</t>
  </si>
  <si>
    <t>전준호</t>
  </si>
  <si>
    <t>강동우</t>
  </si>
  <si>
    <t>이도형</t>
  </si>
  <si>
    <t>전상렬</t>
  </si>
  <si>
    <t>박용택</t>
  </si>
  <si>
    <t>조인성</t>
  </si>
  <si>
    <t>브리또</t>
  </si>
  <si>
    <t>김종국</t>
  </si>
  <si>
    <t>박경완</t>
  </si>
  <si>
    <t>김민재</t>
  </si>
  <si>
    <t>브룸바</t>
  </si>
  <si>
    <t>홍성흔</t>
  </si>
  <si>
    <t>이병규</t>
  </si>
  <si>
    <t>김기태</t>
  </si>
  <si>
    <t>페레즈</t>
  </si>
  <si>
    <t>이범호</t>
  </si>
  <si>
    <t>김재현</t>
  </si>
  <si>
    <t>라이온</t>
  </si>
  <si>
    <t>데이비스</t>
  </si>
  <si>
    <t>마틴</t>
  </si>
  <si>
    <t>손인호</t>
  </si>
  <si>
    <t>심재학</t>
  </si>
  <si>
    <t>최경환</t>
  </si>
  <si>
    <t>정성훈</t>
  </si>
  <si>
    <t>송지만</t>
  </si>
  <si>
    <t>최동수</t>
  </si>
  <si>
    <t>이대호</t>
  </si>
  <si>
    <t>김주찬</t>
  </si>
  <si>
    <t>임재철</t>
  </si>
  <si>
    <t>클리어</t>
  </si>
  <si>
    <t>서튼</t>
  </si>
  <si>
    <t>정수근</t>
  </si>
  <si>
    <t>펠로우</t>
  </si>
  <si>
    <t>손시헌</t>
  </si>
  <si>
    <t>조동찬</t>
  </si>
  <si>
    <t>정수성</t>
  </si>
  <si>
    <t>이용규</t>
  </si>
  <si>
    <t>신명철</t>
  </si>
  <si>
    <t>채종국</t>
  </si>
  <si>
    <t>이택근</t>
  </si>
  <si>
    <t>이재주</t>
  </si>
  <si>
    <t>정근우</t>
  </si>
  <si>
    <t>이종욱</t>
  </si>
  <si>
    <t>호세</t>
  </si>
  <si>
    <t>이대수</t>
  </si>
  <si>
    <t>강민호</t>
  </si>
  <si>
    <t>고동진</t>
  </si>
  <si>
    <t>이현곤</t>
  </si>
  <si>
    <t>크루즈</t>
  </si>
  <si>
    <t>이대형</t>
  </si>
  <si>
    <t>이종열</t>
  </si>
  <si>
    <t>발데스</t>
  </si>
  <si>
    <t>정보명</t>
  </si>
  <si>
    <t>고영민</t>
  </si>
  <si>
    <t>최정</t>
  </si>
  <si>
    <t>이원석</t>
  </si>
  <si>
    <t>김일경</t>
  </si>
  <si>
    <t>최준석</t>
  </si>
  <si>
    <t>권용관</t>
  </si>
  <si>
    <t>김상현</t>
  </si>
  <si>
    <t>김현수</t>
  </si>
  <si>
    <t>우리</t>
  </si>
  <si>
    <t>김원섭</t>
  </si>
  <si>
    <t>안치용</t>
  </si>
  <si>
    <t>박기혁</t>
  </si>
  <si>
    <t>가르시아</t>
  </si>
  <si>
    <t>박석민</t>
  </si>
  <si>
    <t>최형우</t>
  </si>
  <si>
    <t>강정호</t>
  </si>
  <si>
    <t>김태완</t>
  </si>
  <si>
    <t>박경수</t>
  </si>
  <si>
    <t>나주환</t>
  </si>
  <si>
    <t>클락</t>
  </si>
  <si>
    <t>추승우</t>
  </si>
  <si>
    <t>페타지니</t>
  </si>
  <si>
    <t>히어로즈</t>
  </si>
  <si>
    <t>강봉규</t>
  </si>
  <si>
    <t>최희섭</t>
  </si>
  <si>
    <t>박재상</t>
  </si>
  <si>
    <t>채태인</t>
  </si>
  <si>
    <t>황재균</t>
  </si>
  <si>
    <t>박정권</t>
  </si>
  <si>
    <t>나지완</t>
  </si>
  <si>
    <t>송광민</t>
  </si>
  <si>
    <t>안치홍</t>
  </si>
  <si>
    <t>김강민</t>
  </si>
  <si>
    <t>손아섭</t>
  </si>
  <si>
    <t>넥센</t>
  </si>
  <si>
    <t>정원석</t>
  </si>
  <si>
    <t>유한준</t>
  </si>
  <si>
    <t>장기영</t>
  </si>
  <si>
    <t>오재원</t>
  </si>
  <si>
    <t>이영욱</t>
  </si>
  <si>
    <t>양의지</t>
  </si>
  <si>
    <t>이성열</t>
  </si>
  <si>
    <t>최진행</t>
  </si>
  <si>
    <t>김민우</t>
  </si>
  <si>
    <t>오지환</t>
  </si>
  <si>
    <t>전준우</t>
  </si>
  <si>
    <t>김선빈</t>
  </si>
  <si>
    <t>정수빈</t>
  </si>
  <si>
    <t>김상수</t>
  </si>
  <si>
    <t>한상훈</t>
  </si>
  <si>
    <t>알드리지</t>
  </si>
  <si>
    <t>박병호</t>
  </si>
  <si>
    <t>서건창</t>
  </si>
  <si>
    <t>오선진</t>
  </si>
  <si>
    <t>박종윤</t>
  </si>
  <si>
    <t>배영섭</t>
  </si>
  <si>
    <t>민병헌</t>
  </si>
  <si>
    <t>신종길</t>
  </si>
  <si>
    <t>정현석</t>
  </si>
  <si>
    <t>김민성</t>
  </si>
  <si>
    <t>조영훈</t>
  </si>
  <si>
    <t>NC</t>
  </si>
  <si>
    <t>김종호</t>
  </si>
  <si>
    <t>모창민</t>
  </si>
  <si>
    <t>정의윤</t>
  </si>
  <si>
    <t>손주인</t>
  </si>
  <si>
    <t>정훈</t>
  </si>
  <si>
    <t>조동화</t>
  </si>
  <si>
    <t>나성범</t>
  </si>
  <si>
    <t>권희동</t>
  </si>
  <si>
    <t>YrPlayer</t>
    <phoneticPr fontId="1" type="noConversion"/>
  </si>
  <si>
    <t>Year</t>
    <phoneticPr fontId="1" type="noConversion"/>
  </si>
  <si>
    <t>Rank</t>
    <phoneticPr fontId="1" type="noConversion"/>
  </si>
  <si>
    <t>Player</t>
    <phoneticPr fontId="1" type="noConversion"/>
  </si>
  <si>
    <t>Team</t>
    <phoneticPr fontId="1" type="noConversion"/>
  </si>
  <si>
    <t>AVG</t>
    <phoneticPr fontId="1" type="noConversion"/>
  </si>
  <si>
    <t>G</t>
    <phoneticPr fontId="1" type="noConversion"/>
  </si>
  <si>
    <t>PA</t>
    <phoneticPr fontId="1" type="noConversion"/>
  </si>
  <si>
    <t>AB</t>
    <phoneticPr fontId="1" type="noConversion"/>
  </si>
  <si>
    <t>R</t>
    <phoneticPr fontId="1" type="noConversion"/>
  </si>
  <si>
    <t>H</t>
    <phoneticPr fontId="1" type="noConversion"/>
  </si>
  <si>
    <t>2B</t>
    <phoneticPr fontId="1" type="noConversion"/>
  </si>
  <si>
    <t>3B</t>
    <phoneticPr fontId="1" type="noConversion"/>
  </si>
  <si>
    <t>HR</t>
    <phoneticPr fontId="1" type="noConversion"/>
  </si>
  <si>
    <t>TB</t>
    <phoneticPr fontId="1" type="noConversion"/>
  </si>
  <si>
    <t>RBI</t>
    <phoneticPr fontId="1" type="noConversion"/>
  </si>
  <si>
    <t>SAC</t>
    <phoneticPr fontId="1" type="noConversion"/>
  </si>
  <si>
    <t>SF</t>
    <phoneticPr fontId="1" type="noConversion"/>
  </si>
  <si>
    <t>BB</t>
    <phoneticPr fontId="1" type="noConversion"/>
  </si>
  <si>
    <t>IBB</t>
    <phoneticPr fontId="1" type="noConversion"/>
  </si>
  <si>
    <t>HBP</t>
    <phoneticPr fontId="1" type="noConversion"/>
  </si>
  <si>
    <t>SO</t>
    <phoneticPr fontId="1" type="noConversion"/>
  </si>
  <si>
    <t>GDP</t>
    <phoneticPr fontId="1" type="noConversion"/>
  </si>
  <si>
    <t>SLG</t>
    <phoneticPr fontId="1" type="noConversion"/>
  </si>
  <si>
    <t>OBP</t>
    <phoneticPr fontId="1" type="noConversion"/>
  </si>
  <si>
    <t>OPS</t>
    <phoneticPr fontId="1" type="noConversion"/>
  </si>
  <si>
    <t>MH</t>
    <phoneticPr fontId="1" type="noConversion"/>
  </si>
  <si>
    <t>RISP</t>
    <phoneticPr fontId="1" type="noConversion"/>
  </si>
  <si>
    <t>PH-BA</t>
    <phoneticPr fontId="1" type="noConversion"/>
  </si>
  <si>
    <t xml:space="preserve">KIA </t>
  </si>
  <si>
    <t xml:space="preserve">삼성 </t>
  </si>
  <si>
    <t xml:space="preserve">현대 </t>
  </si>
  <si>
    <t xml:space="preserve">두산 </t>
  </si>
  <si>
    <t xml:space="preserve">한화 </t>
  </si>
  <si>
    <t xml:space="preserve">SK </t>
  </si>
  <si>
    <t xml:space="preserve">LG </t>
  </si>
  <si>
    <t xml:space="preserve">롯데 </t>
  </si>
  <si>
    <t>SB</t>
    <phoneticPr fontId="1" type="noConversion"/>
  </si>
  <si>
    <t>CS</t>
    <phoneticPr fontId="1" type="noConversion"/>
  </si>
  <si>
    <t>ISO</t>
    <phoneticPr fontId="1" type="noConversion"/>
  </si>
  <si>
    <t>SECA</t>
    <phoneticPr fontId="1" type="noConversion"/>
  </si>
  <si>
    <t>TA</t>
    <phoneticPr fontId="1" type="noConversion"/>
  </si>
  <si>
    <t>RC</t>
    <phoneticPr fontId="1" type="noConversion"/>
  </si>
  <si>
    <t>RC/27</t>
    <phoneticPr fontId="1" type="noConversion"/>
  </si>
  <si>
    <t>wOBA</t>
    <phoneticPr fontId="1" type="noConversion"/>
  </si>
  <si>
    <t>XR</t>
    <phoneticPr fontId="1" type="noConversion"/>
  </si>
  <si>
    <t>1B</t>
    <phoneticPr fontId="1" type="noConversion"/>
  </si>
  <si>
    <t>정성훈</t>
    <phoneticPr fontId="1" type="noConversion"/>
  </si>
  <si>
    <t>이호준</t>
    <phoneticPr fontId="1" type="noConversion"/>
  </si>
  <si>
    <t>장성호</t>
    <phoneticPr fontId="1" type="noConversion"/>
  </si>
  <si>
    <t>마해영</t>
    <phoneticPr fontId="1" type="noConversion"/>
  </si>
  <si>
    <t>이승엽</t>
    <phoneticPr fontId="1" type="noConversion"/>
  </si>
  <si>
    <t>심정수</t>
    <phoneticPr fontId="1" type="noConversion"/>
  </si>
  <si>
    <t>김동주</t>
    <phoneticPr fontId="1" type="noConversion"/>
  </si>
  <si>
    <t>이영우</t>
    <phoneticPr fontId="1" type="noConversion"/>
  </si>
  <si>
    <t>김한수</t>
    <phoneticPr fontId="1" type="noConversion"/>
  </si>
  <si>
    <t>이진영</t>
    <phoneticPr fontId="1" type="noConversion"/>
  </si>
  <si>
    <t>전준호</t>
    <phoneticPr fontId="1" type="noConversion"/>
  </si>
  <si>
    <t>이병규</t>
    <phoneticPr fontId="1" type="noConversion"/>
  </si>
  <si>
    <t>이종범</t>
    <phoneticPr fontId="1" type="noConversion"/>
  </si>
  <si>
    <t>송지만</t>
    <phoneticPr fontId="1" type="noConversion"/>
  </si>
  <si>
    <t>채종범</t>
    <phoneticPr fontId="1" type="noConversion"/>
  </si>
  <si>
    <t>홍성흔</t>
    <phoneticPr fontId="1" type="noConversion"/>
  </si>
  <si>
    <t>안경현</t>
    <phoneticPr fontId="1" type="noConversion"/>
  </si>
  <si>
    <t>강동우</t>
    <phoneticPr fontId="1" type="noConversion"/>
  </si>
  <si>
    <t>데이비스</t>
    <phoneticPr fontId="1" type="noConversion"/>
  </si>
  <si>
    <t>김종국</t>
    <phoneticPr fontId="1" type="noConversion"/>
  </si>
  <si>
    <t>박용택</t>
    <phoneticPr fontId="1" type="noConversion"/>
  </si>
  <si>
    <t>최기문</t>
    <phoneticPr fontId="1" type="noConversion"/>
  </si>
  <si>
    <t>김응국</t>
    <phoneticPr fontId="1" type="noConversion"/>
  </si>
  <si>
    <t>이숭용</t>
    <phoneticPr fontId="1" type="noConversion"/>
  </si>
  <si>
    <t>브리또</t>
    <phoneticPr fontId="1" type="noConversion"/>
  </si>
  <si>
    <t>진갑용</t>
    <phoneticPr fontId="1" type="noConversion"/>
  </si>
  <si>
    <t>페르난데스</t>
    <phoneticPr fontId="1" type="noConversion"/>
  </si>
  <si>
    <t>폴</t>
    <phoneticPr fontId="1" type="noConversion"/>
  </si>
  <si>
    <t>마르티네스</t>
    <phoneticPr fontId="1" type="noConversion"/>
  </si>
  <si>
    <t>박재홍</t>
    <phoneticPr fontId="1" type="noConversion"/>
  </si>
  <si>
    <t>양준혁</t>
    <phoneticPr fontId="1" type="noConversion"/>
  </si>
  <si>
    <t>장원진</t>
    <phoneticPr fontId="1" type="noConversion"/>
  </si>
  <si>
    <t>박한이</t>
    <phoneticPr fontId="1" type="noConversion"/>
  </si>
  <si>
    <t>박종호</t>
    <phoneticPr fontId="1" type="noConversion"/>
  </si>
  <si>
    <t>김민재</t>
    <phoneticPr fontId="1" type="noConversion"/>
  </si>
  <si>
    <t>홍세완</t>
    <phoneticPr fontId="1" type="noConversion"/>
  </si>
  <si>
    <t>우즈</t>
    <phoneticPr fontId="1" type="noConversion"/>
  </si>
  <si>
    <t>심재학</t>
    <phoneticPr fontId="1" type="noConversion"/>
  </si>
  <si>
    <t>정수근</t>
    <phoneticPr fontId="1" type="noConversion"/>
  </si>
  <si>
    <t>임수민</t>
    <phoneticPr fontId="1" type="noConversion"/>
  </si>
  <si>
    <t>박진만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</si>
</sst>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FEC69-A504-438B-BC90-48F39E63C6C3}" name="표1" displayName="표1" ref="A1:AM506" totalsRowShown="0">
  <autoFilter ref="A1:AM506" xr:uid="{A9EFEC69-A504-438B-BC90-48F39E63C6C3}"/>
  <tableColumns count="39">
    <tableColumn id="1" xr3:uid="{D0666E6F-472D-4D28-ABD4-0CBC32341388}" name="YrPlayer" dataDxfId="8">
      <calculatedColumnFormula>_xlfn.CONCAT(표1[[#This Row],[Year]],표1[[#This Row],[Player]])</calculatedColumnFormula>
    </tableColumn>
    <tableColumn id="2" xr3:uid="{679575CB-B137-4A02-AD5B-7B038477F935}" name="Year"/>
    <tableColumn id="3" xr3:uid="{34D55DA2-ACFD-420E-AC79-F6CC6DD31B40}" name="Rank"/>
    <tableColumn id="4" xr3:uid="{2091B493-0079-46A7-9CCF-E90D09955160}" name="Player"/>
    <tableColumn id="5" xr3:uid="{1B456E55-37EE-47F2-805E-C24BE9D56968}" name="Team"/>
    <tableColumn id="6" xr3:uid="{2FB8F346-6925-4084-9E48-70B5BEC83048}" name="AVG"/>
    <tableColumn id="7" xr3:uid="{B12EE264-87EA-44AE-9AF6-EEA2BBED0876}" name="G"/>
    <tableColumn id="8" xr3:uid="{8AAB96CD-58AD-4B91-A80C-6C366196E44A}" name="PA"/>
    <tableColumn id="9" xr3:uid="{997F36DF-78D1-4B4D-9999-92126A65D327}" name="AB"/>
    <tableColumn id="10" xr3:uid="{B46AE4BA-41D8-42C8-991B-BDD1B20229F9}" name="R"/>
    <tableColumn id="11" xr3:uid="{D9332CA5-A20C-46DC-A383-DBAE947786B7}" name="H"/>
    <tableColumn id="39" xr3:uid="{E3BFA78F-4B5F-4551-BA96-29F1B8F31F1C}" name="1B" dataDxfId="2">
      <calculatedColumnFormula>표1[[#This Row],[H]]-표1[[#This Row],[2B]]-표1[[#This Row],[3B]]-표1[[#This Row],[HR]]</calculatedColumnFormula>
    </tableColumn>
    <tableColumn id="12" xr3:uid="{6E4FA8A5-5BC6-44FC-80F0-1E1FB4B2A659}" name="2B"/>
    <tableColumn id="13" xr3:uid="{E05C3DAC-C677-4FE7-A040-9B2F2DD7B4CB}" name="3B"/>
    <tableColumn id="14" xr3:uid="{6FB53CE4-91D6-4191-93C2-057CD8FE9AD2}" name="HR"/>
    <tableColumn id="15" xr3:uid="{19D53763-DAE0-456F-9B95-1D02361E96FB}" name="TB"/>
    <tableColumn id="16" xr3:uid="{7ECCC3E1-849E-4D68-8F13-0C53F331534E}" name="RBI"/>
    <tableColumn id="17" xr3:uid="{4154BD4F-64D3-44AE-9744-9AE1B9AC9EFA}" name="SAC"/>
    <tableColumn id="18" xr3:uid="{F1330D2D-2899-4D91-B02C-3E8BC326E4AE}" name="SF"/>
    <tableColumn id="19" xr3:uid="{C424DD5D-EA53-4135-9E40-0078DFBB3E02}" name="BB"/>
    <tableColumn id="20" xr3:uid="{9DC1D3C8-6AF1-4FEF-9AA3-CBA0AE1A1D16}" name="IBB"/>
    <tableColumn id="21" xr3:uid="{1FB6BE73-95ED-4DD9-AC2B-CF0D631F7132}" name="SB"/>
    <tableColumn id="22" xr3:uid="{F50913ED-DBDD-42D2-95F4-FA2530A4A642}" name="CS"/>
    <tableColumn id="23" xr3:uid="{9050EB31-3BA0-4456-9654-DE62E2A0536C}" name="HBP"/>
    <tableColumn id="24" xr3:uid="{09D992BD-93DC-4C4C-8B2D-2CE0EDD8552F}" name="SO"/>
    <tableColumn id="25" xr3:uid="{1E48910A-228E-4A18-9DA9-0D15495A96FA}" name="GDP"/>
    <tableColumn id="26" xr3:uid="{610FE2F6-E064-438A-8608-1DE6F414FFC6}" name="SLG"/>
    <tableColumn id="27" xr3:uid="{92490F92-ADE3-4A61-9A78-2D9E2BA121AD}" name="OBP"/>
    <tableColumn id="28" xr3:uid="{21FD8789-BEE9-4F81-8660-18F65ADA39A8}" name="OPS"/>
    <tableColumn id="29" xr3:uid="{65122DBD-75E3-42E0-858F-4E73CF82DDBA}" name="MH"/>
    <tableColumn id="30" xr3:uid="{3575CC6A-6798-416E-BAC4-8B0C666295FC}" name="RISP"/>
    <tableColumn id="31" xr3:uid="{BE224DCC-2FB5-4004-B227-012B327A4E27}" name="PH-BA"/>
    <tableColumn id="32" xr3:uid="{A1CB9D79-48B6-4B22-AA94-EE0806A9CA01}" name="ISO" dataDxfId="7">
      <calculatedColumnFormula>(표1[[#This Row],[TB]]-표1[[#This Row],[H]])/표1[[#This Row],[AB]]</calculatedColumnFormula>
    </tableColumn>
    <tableColumn id="33" xr3:uid="{3414CF18-7631-47FE-97F1-557CE5381CC5}" name="SECA" dataDxfId="6">
      <calculatedColumnFormula>(표1[[#This Row],[TB]]-표1[[#This Row],[H]]+표1[[#This Row],[BB]]+표1[[#This Row],[SB]]-표1[[#This Row],[CS]])/표1[[#This Row],[AB]]</calculatedColumnFormula>
    </tableColumn>
    <tableColumn id="34" xr3:uid="{1D047AE0-528F-4B57-921D-AAF69D8DEB2C}" name="TA" dataDxfId="5">
      <calculatedColumnFormula>(표1[[#This Row],[TB]]+표1[[#This Row],[BB]]+표1[[#This Row],[HBP]]+표1[[#This Row],[SB]]-표1[[#This Row],[CS]])/(표1[[#This Row],[AB]]-표1[[#This Row],[H]]+표1[[#This Row],[CS]]+표1[[#This Row],[GDP]])</calculatedColumnFormula>
    </tableColumn>
    <tableColumn id="35" xr3:uid="{E3207F9F-30B4-460F-B2FA-B3C2A236EB60}" name="RC" dataDxfId="4">
      <calculatedColumnFormula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calculatedColumnFormula>
    </tableColumn>
    <tableColumn id="36" xr3:uid="{1AA5E6BB-1B28-4329-846B-471E7B190C80}" name="RC/27" dataDxfId="3">
      <calculatedColumnFormula>표1[[#This Row],[RC]]/((표1[[#This Row],[AB]]-표1[[#This Row],[H]]+표1[[#This Row],[SAC]]+표1[[#This Row],[SF]]+표1[[#This Row],[CS]]+표1[[#This Row],[GDP]])/27)</calculatedColumnFormula>
    </tableColumn>
    <tableColumn id="37" xr3:uid="{945296C4-F58A-49E6-8CCF-6C86671B9355}" name="wOBA" dataDxfId="1">
      <calculatedColumnFormula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calculatedColumnFormula>
    </tableColumn>
    <tableColumn id="38" xr3:uid="{D816F03C-43D5-4860-A64A-F70AA504F468}" name="XR" dataDxfId="0">
      <calculatedColumnFormula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6"/>
  <sheetViews>
    <sheetView tabSelected="1" workbookViewId="0"/>
  </sheetViews>
  <sheetFormatPr defaultRowHeight="16.5" x14ac:dyDescent="0.3"/>
  <cols>
    <col min="1" max="1" width="9.5" customWidth="1"/>
  </cols>
  <sheetData>
    <row r="1" spans="1:39" x14ac:dyDescent="0.3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207</v>
      </c>
      <c r="M1" t="s">
        <v>172</v>
      </c>
      <c r="N1" t="s">
        <v>173</v>
      </c>
      <c r="O1" t="s">
        <v>174</v>
      </c>
      <c r="P1" t="s">
        <v>175</v>
      </c>
      <c r="Q1" t="s">
        <v>176</v>
      </c>
      <c r="R1" t="s">
        <v>177</v>
      </c>
      <c r="S1" t="s">
        <v>178</v>
      </c>
      <c r="T1" t="s">
        <v>179</v>
      </c>
      <c r="U1" t="s">
        <v>180</v>
      </c>
      <c r="V1" t="s">
        <v>198</v>
      </c>
      <c r="W1" t="s">
        <v>199</v>
      </c>
      <c r="X1" t="s">
        <v>181</v>
      </c>
      <c r="Y1" t="s">
        <v>182</v>
      </c>
      <c r="Z1" t="s">
        <v>183</v>
      </c>
      <c r="AA1" t="s">
        <v>184</v>
      </c>
      <c r="AB1" t="s">
        <v>185</v>
      </c>
      <c r="AC1" t="s">
        <v>186</v>
      </c>
      <c r="AD1" t="s">
        <v>187</v>
      </c>
      <c r="AE1" t="s">
        <v>188</v>
      </c>
      <c r="AF1" t="s">
        <v>189</v>
      </c>
      <c r="AG1" t="s">
        <v>200</v>
      </c>
      <c r="AH1" t="s">
        <v>201</v>
      </c>
      <c r="AI1" t="s">
        <v>202</v>
      </c>
      <c r="AJ1" t="s">
        <v>203</v>
      </c>
      <c r="AK1" t="s">
        <v>204</v>
      </c>
      <c r="AL1" t="s">
        <v>205</v>
      </c>
      <c r="AM1" t="s">
        <v>206</v>
      </c>
    </row>
    <row r="2" spans="1:39" x14ac:dyDescent="0.3">
      <c r="A2" t="str">
        <f>_xlfn.CONCAT(표1[[#This Row],[Year]],표1[[#This Row],[Player]])</f>
        <v>2002장성호</v>
      </c>
      <c r="B2">
        <v>2002</v>
      </c>
      <c r="C2">
        <v>1</v>
      </c>
      <c r="D2" t="s">
        <v>210</v>
      </c>
      <c r="E2" t="s">
        <v>190</v>
      </c>
      <c r="F2">
        <v>0.34300000000000003</v>
      </c>
      <c r="G2">
        <v>133</v>
      </c>
      <c r="H2">
        <v>586</v>
      </c>
      <c r="I2">
        <v>481</v>
      </c>
      <c r="J2">
        <v>82</v>
      </c>
      <c r="K2">
        <v>165</v>
      </c>
      <c r="L2">
        <f>표1[[#This Row],[H]]-표1[[#This Row],[2B]]-표1[[#This Row],[3B]]-표1[[#This Row],[HR]]</f>
        <v>117</v>
      </c>
      <c r="M2">
        <v>29</v>
      </c>
      <c r="N2">
        <v>0</v>
      </c>
      <c r="O2">
        <v>19</v>
      </c>
      <c r="P2">
        <v>251</v>
      </c>
      <c r="Q2">
        <v>95</v>
      </c>
      <c r="R2">
        <v>2</v>
      </c>
      <c r="S2">
        <v>8</v>
      </c>
      <c r="T2">
        <v>86</v>
      </c>
      <c r="U2">
        <v>14</v>
      </c>
      <c r="V2">
        <v>7</v>
      </c>
      <c r="W2">
        <v>3</v>
      </c>
      <c r="X2">
        <v>9</v>
      </c>
      <c r="Y2">
        <v>53</v>
      </c>
      <c r="Z2">
        <v>15</v>
      </c>
      <c r="AA2">
        <v>0.52200000000000002</v>
      </c>
      <c r="AB2">
        <v>0.44500000000000001</v>
      </c>
      <c r="AC2">
        <v>0.96699999999999997</v>
      </c>
      <c r="AD2">
        <v>48</v>
      </c>
      <c r="AE2">
        <v>0.36499999999999999</v>
      </c>
      <c r="AF2">
        <v>0</v>
      </c>
      <c r="AG2">
        <f>(표1[[#This Row],[TB]]-표1[[#This Row],[H]])/표1[[#This Row],[AB]]</f>
        <v>0.1787941787941788</v>
      </c>
      <c r="AH2">
        <f>(표1[[#This Row],[TB]]-표1[[#This Row],[H]]+표1[[#This Row],[BB]]+표1[[#This Row],[SB]]-표1[[#This Row],[CS]])/표1[[#This Row],[AB]]</f>
        <v>0.36590436590436592</v>
      </c>
      <c r="AI2">
        <f>(표1[[#This Row],[TB]]+표1[[#This Row],[BB]]+표1[[#This Row],[HBP]]+표1[[#This Row],[SB]]-표1[[#This Row],[CS]])/(표1[[#This Row],[AB]]-표1[[#This Row],[H]]+표1[[#This Row],[CS]]+표1[[#This Row],[GDP]])</f>
        <v>1.0479041916167664</v>
      </c>
      <c r="AJ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116.00307167235493</v>
      </c>
      <c r="AK2">
        <f>표1[[#This Row],[RC]]/((표1[[#This Row],[AB]]-표1[[#This Row],[H]]+표1[[#This Row],[SAC]]+표1[[#This Row],[SF]]+표1[[#This Row],[CS]]+표1[[#This Row],[GDP]])/27)</f>
        <v>9.1048922533534391</v>
      </c>
      <c r="AL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0.41268947368421055</v>
      </c>
      <c r="AM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106.70599999999999</v>
      </c>
    </row>
    <row r="3" spans="1:39" x14ac:dyDescent="0.3">
      <c r="A3" t="str">
        <f>_xlfn.CONCAT(표1[[#This Row],[Year]],표1[[#This Row],[Player]])</f>
        <v>2002마해영</v>
      </c>
      <c r="B3">
        <v>2002</v>
      </c>
      <c r="C3">
        <v>2</v>
      </c>
      <c r="D3" t="s">
        <v>211</v>
      </c>
      <c r="E3" t="s">
        <v>191</v>
      </c>
      <c r="F3">
        <v>0.32300000000000001</v>
      </c>
      <c r="G3">
        <v>133</v>
      </c>
      <c r="H3">
        <v>596</v>
      </c>
      <c r="I3">
        <v>532</v>
      </c>
      <c r="J3">
        <v>92</v>
      </c>
      <c r="K3">
        <v>172</v>
      </c>
      <c r="L3">
        <f>표1[[#This Row],[H]]-표1[[#This Row],[2B]]-표1[[#This Row],[3B]]-표1[[#This Row],[HR]]</f>
        <v>97</v>
      </c>
      <c r="M3">
        <v>40</v>
      </c>
      <c r="N3">
        <v>2</v>
      </c>
      <c r="O3">
        <v>33</v>
      </c>
      <c r="P3">
        <v>315</v>
      </c>
      <c r="Q3">
        <v>116</v>
      </c>
      <c r="R3">
        <v>0</v>
      </c>
      <c r="S3">
        <v>6</v>
      </c>
      <c r="T3">
        <v>46</v>
      </c>
      <c r="U3">
        <v>5</v>
      </c>
      <c r="V3">
        <v>2</v>
      </c>
      <c r="W3">
        <v>0</v>
      </c>
      <c r="X3">
        <v>12</v>
      </c>
      <c r="Y3">
        <v>74</v>
      </c>
      <c r="Z3">
        <v>14</v>
      </c>
      <c r="AA3">
        <v>0.59199999999999997</v>
      </c>
      <c r="AB3">
        <v>0.38600000000000001</v>
      </c>
      <c r="AC3">
        <v>0.97799999999999998</v>
      </c>
      <c r="AD3">
        <v>53</v>
      </c>
      <c r="AE3">
        <v>0.313</v>
      </c>
      <c r="AF3">
        <v>0</v>
      </c>
      <c r="AG3">
        <f>(표1[[#This Row],[TB]]-표1[[#This Row],[H]])/표1[[#This Row],[AB]]</f>
        <v>0.26879699248120303</v>
      </c>
      <c r="AH3">
        <f>(표1[[#This Row],[TB]]-표1[[#This Row],[H]]+표1[[#This Row],[BB]]+표1[[#This Row],[SB]]-표1[[#This Row],[CS]])/표1[[#This Row],[AB]]</f>
        <v>0.35902255639097747</v>
      </c>
      <c r="AI3">
        <f>(표1[[#This Row],[TB]]+표1[[#This Row],[BB]]+표1[[#This Row],[HBP]]+표1[[#This Row],[SB]]-표1[[#This Row],[CS]])/(표1[[#This Row],[AB]]-표1[[#This Row],[H]]+표1[[#This Row],[CS]]+표1[[#This Row],[GDP]])</f>
        <v>1.0026737967914439</v>
      </c>
      <c r="AJ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120.66281879194629</v>
      </c>
      <c r="AK3">
        <f>표1[[#This Row],[RC]]/((표1[[#This Row],[AB]]-표1[[#This Row],[H]]+표1[[#This Row],[SAC]]+표1[[#This Row],[SF]]+표1[[#This Row],[CS]]+표1[[#This Row],[GDP]])/27)</f>
        <v>8.5734108089014462</v>
      </c>
      <c r="AL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0.41306768189509302</v>
      </c>
      <c r="AM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110.578</v>
      </c>
    </row>
    <row r="4" spans="1:39" x14ac:dyDescent="0.3">
      <c r="A4" t="str">
        <f>_xlfn.CONCAT(표1[[#This Row],[Year]],표1[[#This Row],[Player]])</f>
        <v>2002이승엽</v>
      </c>
      <c r="B4">
        <v>2002</v>
      </c>
      <c r="C4">
        <v>3</v>
      </c>
      <c r="D4" t="s">
        <v>212</v>
      </c>
      <c r="E4" t="s">
        <v>191</v>
      </c>
      <c r="F4">
        <v>0.32300000000000001</v>
      </c>
      <c r="G4">
        <v>133</v>
      </c>
      <c r="H4">
        <v>617</v>
      </c>
      <c r="I4">
        <v>511</v>
      </c>
      <c r="J4">
        <v>123</v>
      </c>
      <c r="K4">
        <v>165</v>
      </c>
      <c r="L4">
        <f>표1[[#This Row],[H]]-표1[[#This Row],[2B]]-표1[[#This Row],[3B]]-표1[[#This Row],[HR]]</f>
        <v>74</v>
      </c>
      <c r="M4">
        <v>42</v>
      </c>
      <c r="N4">
        <v>2</v>
      </c>
      <c r="O4">
        <v>47</v>
      </c>
      <c r="P4">
        <v>352</v>
      </c>
      <c r="Q4">
        <v>126</v>
      </c>
      <c r="R4">
        <v>0</v>
      </c>
      <c r="S4">
        <v>2</v>
      </c>
      <c r="T4">
        <v>89</v>
      </c>
      <c r="U4">
        <v>5</v>
      </c>
      <c r="V4">
        <v>1</v>
      </c>
      <c r="W4">
        <v>2</v>
      </c>
      <c r="X4">
        <v>15</v>
      </c>
      <c r="Y4">
        <v>109</v>
      </c>
      <c r="Z4">
        <v>11</v>
      </c>
      <c r="AA4">
        <v>0.68899999999999995</v>
      </c>
      <c r="AB4">
        <v>0.436</v>
      </c>
      <c r="AC4">
        <v>1.125</v>
      </c>
      <c r="AD4">
        <v>47</v>
      </c>
      <c r="AE4">
        <v>0.33100000000000002</v>
      </c>
      <c r="AF4">
        <v>0</v>
      </c>
      <c r="AG4">
        <f>(표1[[#This Row],[TB]]-표1[[#This Row],[H]])/표1[[#This Row],[AB]]</f>
        <v>0.36594911937377689</v>
      </c>
      <c r="AH4">
        <f>(표1[[#This Row],[TB]]-표1[[#This Row],[H]]+표1[[#This Row],[BB]]+표1[[#This Row],[SB]]-표1[[#This Row],[CS]])/표1[[#This Row],[AB]]</f>
        <v>0.53816046966731901</v>
      </c>
      <c r="AI4">
        <f>(표1[[#This Row],[TB]]+표1[[#This Row],[BB]]+표1[[#This Row],[HBP]]+표1[[#This Row],[SB]]-표1[[#This Row],[CS]])/(표1[[#This Row],[AB]]-표1[[#This Row],[H]]+표1[[#This Row],[CS]]+표1[[#This Row],[GDP]])</f>
        <v>1.2674094707520891</v>
      </c>
      <c r="AJ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157.37568881685576</v>
      </c>
      <c r="AK4">
        <f>표1[[#This Row],[RC]]/((표1[[#This Row],[AB]]-표1[[#This Row],[H]]+표1[[#This Row],[SAC]]+표1[[#This Row],[SF]]+표1[[#This Row],[CS]]+표1[[#This Row],[GDP]])/27)</f>
        <v>11.770480881039074</v>
      </c>
      <c r="AL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0.46894771241830063</v>
      </c>
      <c r="AM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136.10800000000003</v>
      </c>
    </row>
    <row r="5" spans="1:39" x14ac:dyDescent="0.3">
      <c r="A5" t="str">
        <f>_xlfn.CONCAT(표1[[#This Row],[Year]],표1[[#This Row],[Player]])</f>
        <v>2002심정수</v>
      </c>
      <c r="B5">
        <v>2002</v>
      </c>
      <c r="C5">
        <v>4</v>
      </c>
      <c r="D5" t="s">
        <v>213</v>
      </c>
      <c r="E5" t="s">
        <v>192</v>
      </c>
      <c r="F5">
        <v>0.32100000000000001</v>
      </c>
      <c r="G5">
        <v>133</v>
      </c>
      <c r="H5">
        <v>577</v>
      </c>
      <c r="I5">
        <v>502</v>
      </c>
      <c r="J5">
        <v>101</v>
      </c>
      <c r="K5">
        <v>161</v>
      </c>
      <c r="L5">
        <f>표1[[#This Row],[H]]-표1[[#This Row],[2B]]-표1[[#This Row],[3B]]-표1[[#This Row],[HR]]</f>
        <v>92</v>
      </c>
      <c r="M5">
        <v>22</v>
      </c>
      <c r="N5">
        <v>1</v>
      </c>
      <c r="O5">
        <v>46</v>
      </c>
      <c r="P5">
        <v>323</v>
      </c>
      <c r="Q5">
        <v>119</v>
      </c>
      <c r="R5">
        <v>0</v>
      </c>
      <c r="S5">
        <v>3</v>
      </c>
      <c r="T5">
        <v>69</v>
      </c>
      <c r="U5">
        <v>10</v>
      </c>
      <c r="V5">
        <v>2</v>
      </c>
      <c r="W5">
        <v>1</v>
      </c>
      <c r="X5">
        <v>3</v>
      </c>
      <c r="Y5">
        <v>114</v>
      </c>
      <c r="Z5">
        <v>13</v>
      </c>
      <c r="AA5">
        <v>0.64300000000000002</v>
      </c>
      <c r="AB5">
        <v>0.40400000000000003</v>
      </c>
      <c r="AC5">
        <v>1.0469999999999999</v>
      </c>
      <c r="AD5">
        <v>47</v>
      </c>
      <c r="AE5">
        <v>0.33800000000000002</v>
      </c>
      <c r="AF5">
        <v>0</v>
      </c>
      <c r="AG5">
        <f>(표1[[#This Row],[TB]]-표1[[#This Row],[H]])/표1[[#This Row],[AB]]</f>
        <v>0.32270916334661354</v>
      </c>
      <c r="AH5">
        <f>(표1[[#This Row],[TB]]-표1[[#This Row],[H]]+표1[[#This Row],[BB]]+표1[[#This Row],[SB]]-표1[[#This Row],[CS]])/표1[[#This Row],[AB]]</f>
        <v>0.46215139442231074</v>
      </c>
      <c r="AI5">
        <f>(표1[[#This Row],[TB]]+표1[[#This Row],[BB]]+표1[[#This Row],[HBP]]+표1[[#This Row],[SB]]-표1[[#This Row],[CS]])/(표1[[#This Row],[AB]]-표1[[#This Row],[H]]+표1[[#This Row],[CS]]+표1[[#This Row],[GDP]])</f>
        <v>1.1154929577464789</v>
      </c>
      <c r="AJ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129.69961871750434</v>
      </c>
      <c r="AK5">
        <f>표1[[#This Row],[RC]]/((표1[[#This Row],[AB]]-표1[[#This Row],[H]]+표1[[#This Row],[SAC]]+표1[[#This Row],[SF]]+표1[[#This Row],[CS]]+표1[[#This Row],[GDP]])/27)</f>
        <v>9.7818148194765833</v>
      </c>
      <c r="AL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0.43770370370370371</v>
      </c>
      <c r="AM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117.43800000000003</v>
      </c>
    </row>
    <row r="6" spans="1:39" x14ac:dyDescent="0.3">
      <c r="A6" t="str">
        <f>_xlfn.CONCAT(표1[[#This Row],[Year]],표1[[#This Row],[Player]])</f>
        <v>2002김동주</v>
      </c>
      <c r="B6">
        <v>2002</v>
      </c>
      <c r="C6">
        <v>5</v>
      </c>
      <c r="D6" t="s">
        <v>214</v>
      </c>
      <c r="E6" t="s">
        <v>193</v>
      </c>
      <c r="F6">
        <v>0.318</v>
      </c>
      <c r="G6">
        <v>120</v>
      </c>
      <c r="H6">
        <v>487</v>
      </c>
      <c r="I6">
        <v>415</v>
      </c>
      <c r="J6">
        <v>63</v>
      </c>
      <c r="K6">
        <v>132</v>
      </c>
      <c r="L6">
        <f>표1[[#This Row],[H]]-표1[[#This Row],[2B]]-표1[[#This Row],[3B]]-표1[[#This Row],[HR]]</f>
        <v>85</v>
      </c>
      <c r="M6">
        <v>21</v>
      </c>
      <c r="N6">
        <v>0</v>
      </c>
      <c r="O6">
        <v>26</v>
      </c>
      <c r="P6">
        <v>231</v>
      </c>
      <c r="Q6">
        <v>79</v>
      </c>
      <c r="R6">
        <v>0</v>
      </c>
      <c r="S6">
        <v>7</v>
      </c>
      <c r="T6">
        <v>52</v>
      </c>
      <c r="U6">
        <v>2</v>
      </c>
      <c r="V6">
        <v>1</v>
      </c>
      <c r="W6">
        <v>1</v>
      </c>
      <c r="X6">
        <v>13</v>
      </c>
      <c r="Y6">
        <v>61</v>
      </c>
      <c r="Z6">
        <v>8</v>
      </c>
      <c r="AA6">
        <v>0.55700000000000005</v>
      </c>
      <c r="AB6">
        <v>0.40500000000000003</v>
      </c>
      <c r="AC6">
        <v>0.96199999999999997</v>
      </c>
      <c r="AD6">
        <v>32</v>
      </c>
      <c r="AE6">
        <v>0.28299999999999997</v>
      </c>
      <c r="AF6">
        <v>0.25</v>
      </c>
      <c r="AG6">
        <f>(표1[[#This Row],[TB]]-표1[[#This Row],[H]])/표1[[#This Row],[AB]]</f>
        <v>0.23855421686746989</v>
      </c>
      <c r="AH6">
        <f>(표1[[#This Row],[TB]]-표1[[#This Row],[H]]+표1[[#This Row],[BB]]+표1[[#This Row],[SB]]-표1[[#This Row],[CS]])/표1[[#This Row],[AB]]</f>
        <v>0.363855421686747</v>
      </c>
      <c r="AI6">
        <f>(표1[[#This Row],[TB]]+표1[[#This Row],[BB]]+표1[[#This Row],[HBP]]+표1[[#This Row],[SB]]-표1[[#This Row],[CS]])/(표1[[#This Row],[AB]]-표1[[#This Row],[H]]+표1[[#This Row],[CS]]+표1[[#This Row],[GDP]])</f>
        <v>1.0136986301369864</v>
      </c>
      <c r="AJ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97.103737166324436</v>
      </c>
      <c r="AK6">
        <f>표1[[#This Row],[RC]]/((표1[[#This Row],[AB]]-표1[[#This Row],[H]]+표1[[#This Row],[SAC]]+표1[[#This Row],[SF]]+표1[[#This Row],[CS]]+표1[[#This Row],[GDP]])/27)</f>
        <v>8.768564894617926</v>
      </c>
      <c r="AL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0.4102701030927835</v>
      </c>
      <c r="AM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90.512000000000029</v>
      </c>
    </row>
    <row r="7" spans="1:39" x14ac:dyDescent="0.3">
      <c r="A7" t="str">
        <f>_xlfn.CONCAT(표1[[#This Row],[Year]],표1[[#This Row],[Player]])</f>
        <v>2002이영우</v>
      </c>
      <c r="B7">
        <v>2002</v>
      </c>
      <c r="C7">
        <v>6</v>
      </c>
      <c r="D7" t="s">
        <v>215</v>
      </c>
      <c r="E7" t="s">
        <v>194</v>
      </c>
      <c r="F7">
        <v>0.315</v>
      </c>
      <c r="G7">
        <v>133</v>
      </c>
      <c r="H7">
        <v>564</v>
      </c>
      <c r="I7">
        <v>476</v>
      </c>
      <c r="J7">
        <v>96</v>
      </c>
      <c r="K7">
        <v>150</v>
      </c>
      <c r="L7">
        <f>표1[[#This Row],[H]]-표1[[#This Row],[2B]]-표1[[#This Row],[3B]]-표1[[#This Row],[HR]]</f>
        <v>99</v>
      </c>
      <c r="M7">
        <v>26</v>
      </c>
      <c r="N7">
        <v>1</v>
      </c>
      <c r="O7">
        <v>24</v>
      </c>
      <c r="P7">
        <v>250</v>
      </c>
      <c r="Q7">
        <v>52</v>
      </c>
      <c r="R7">
        <v>7</v>
      </c>
      <c r="S7">
        <v>0</v>
      </c>
      <c r="T7">
        <v>73</v>
      </c>
      <c r="U7">
        <v>6</v>
      </c>
      <c r="V7">
        <v>13</v>
      </c>
      <c r="W7">
        <v>12</v>
      </c>
      <c r="X7">
        <v>8</v>
      </c>
      <c r="Y7">
        <v>103</v>
      </c>
      <c r="Z7">
        <v>14</v>
      </c>
      <c r="AA7">
        <v>0.52500000000000002</v>
      </c>
      <c r="AB7">
        <v>0.41499999999999998</v>
      </c>
      <c r="AC7">
        <v>0.94</v>
      </c>
      <c r="AD7">
        <v>43</v>
      </c>
      <c r="AE7">
        <v>0.32100000000000001</v>
      </c>
      <c r="AF7">
        <v>0.16700000000000001</v>
      </c>
      <c r="AG7">
        <f>(표1[[#This Row],[TB]]-표1[[#This Row],[H]])/표1[[#This Row],[AB]]</f>
        <v>0.21008403361344538</v>
      </c>
      <c r="AH7">
        <f>(표1[[#This Row],[TB]]-표1[[#This Row],[H]]+표1[[#This Row],[BB]]+표1[[#This Row],[SB]]-표1[[#This Row],[CS]])/표1[[#This Row],[AB]]</f>
        <v>0.36554621848739494</v>
      </c>
      <c r="AI7">
        <f>(표1[[#This Row],[TB]]+표1[[#This Row],[BB]]+표1[[#This Row],[HBP]]+표1[[#This Row],[SB]]-표1[[#This Row],[CS]])/(표1[[#This Row],[AB]]-표1[[#This Row],[H]]+표1[[#This Row],[CS]]+표1[[#This Row],[GDP]])</f>
        <v>0.94318181818181823</v>
      </c>
      <c r="AJ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101.73670212765956</v>
      </c>
      <c r="AK7">
        <f>표1[[#This Row],[RC]]/((표1[[#This Row],[AB]]-표1[[#This Row],[H]]+표1[[#This Row],[SAC]]+표1[[#This Row],[SF]]+표1[[#This Row],[CS]]+표1[[#This Row],[GDP]])/27)</f>
        <v>7.6515068452557324</v>
      </c>
      <c r="AL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0.40518330308529943</v>
      </c>
      <c r="AM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94.256</v>
      </c>
    </row>
    <row r="8" spans="1:39" x14ac:dyDescent="0.3">
      <c r="A8" t="str">
        <f>_xlfn.CONCAT(표1[[#This Row],[Year]],표1[[#This Row],[Player]])</f>
        <v>2002김한수</v>
      </c>
      <c r="B8">
        <v>2002</v>
      </c>
      <c r="C8">
        <v>7</v>
      </c>
      <c r="D8" t="s">
        <v>216</v>
      </c>
      <c r="E8" t="s">
        <v>191</v>
      </c>
      <c r="F8">
        <v>0.311</v>
      </c>
      <c r="G8">
        <v>127</v>
      </c>
      <c r="H8">
        <v>541</v>
      </c>
      <c r="I8">
        <v>486</v>
      </c>
      <c r="J8">
        <v>69</v>
      </c>
      <c r="K8">
        <v>151</v>
      </c>
      <c r="L8">
        <f>표1[[#This Row],[H]]-표1[[#This Row],[2B]]-표1[[#This Row],[3B]]-표1[[#This Row],[HR]]</f>
        <v>110</v>
      </c>
      <c r="M8">
        <v>23</v>
      </c>
      <c r="N8">
        <v>1</v>
      </c>
      <c r="O8">
        <v>17</v>
      </c>
      <c r="P8">
        <v>227</v>
      </c>
      <c r="Q8">
        <v>76</v>
      </c>
      <c r="R8">
        <v>2</v>
      </c>
      <c r="S8">
        <v>4</v>
      </c>
      <c r="T8">
        <v>35</v>
      </c>
      <c r="U8">
        <v>2</v>
      </c>
      <c r="V8">
        <v>4</v>
      </c>
      <c r="W8">
        <v>2</v>
      </c>
      <c r="X8">
        <v>14</v>
      </c>
      <c r="Y8">
        <v>61</v>
      </c>
      <c r="Z8">
        <v>15</v>
      </c>
      <c r="AA8">
        <v>0.46700000000000003</v>
      </c>
      <c r="AB8">
        <v>0.371</v>
      </c>
      <c r="AC8">
        <v>0.83799999999999997</v>
      </c>
      <c r="AD8">
        <v>44</v>
      </c>
      <c r="AE8">
        <v>0.28699999999999998</v>
      </c>
      <c r="AF8">
        <v>0</v>
      </c>
      <c r="AG8">
        <f>(표1[[#This Row],[TB]]-표1[[#This Row],[H]])/표1[[#This Row],[AB]]</f>
        <v>0.15637860082304528</v>
      </c>
      <c r="AH8">
        <f>(표1[[#This Row],[TB]]-표1[[#This Row],[H]]+표1[[#This Row],[BB]]+표1[[#This Row],[SB]]-표1[[#This Row],[CS]])/표1[[#This Row],[AB]]</f>
        <v>0.23251028806584362</v>
      </c>
      <c r="AI8">
        <f>(표1[[#This Row],[TB]]+표1[[#This Row],[BB]]+표1[[#This Row],[HBP]]+표1[[#This Row],[SB]]-표1[[#This Row],[CS]])/(표1[[#This Row],[AB]]-표1[[#This Row],[H]]+표1[[#This Row],[CS]]+표1[[#This Row],[GDP]])</f>
        <v>0.78977272727272729</v>
      </c>
      <c r="AJ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82.678114602587797</v>
      </c>
      <c r="AK8">
        <f>표1[[#This Row],[RC]]/((표1[[#This Row],[AB]]-표1[[#This Row],[H]]+표1[[#This Row],[SAC]]+표1[[#This Row],[SF]]+표1[[#This Row],[CS]]+표1[[#This Row],[GDP]])/27)</f>
        <v>6.2355002633236607</v>
      </c>
      <c r="AL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0.36432216014897578</v>
      </c>
      <c r="AM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79.012000000000029</v>
      </c>
    </row>
    <row r="9" spans="1:39" x14ac:dyDescent="0.3">
      <c r="A9" t="str">
        <f>_xlfn.CONCAT(표1[[#This Row],[Year]],표1[[#This Row],[Player]])</f>
        <v>2002이진영</v>
      </c>
      <c r="B9">
        <v>2002</v>
      </c>
      <c r="C9">
        <v>8</v>
      </c>
      <c r="D9" t="s">
        <v>217</v>
      </c>
      <c r="E9" t="s">
        <v>195</v>
      </c>
      <c r="F9">
        <v>0.308</v>
      </c>
      <c r="G9">
        <v>128</v>
      </c>
      <c r="H9">
        <v>475</v>
      </c>
      <c r="I9">
        <v>419</v>
      </c>
      <c r="J9">
        <v>73</v>
      </c>
      <c r="K9">
        <v>129</v>
      </c>
      <c r="L9">
        <f>표1[[#This Row],[H]]-표1[[#This Row],[2B]]-표1[[#This Row],[3B]]-표1[[#This Row],[HR]]</f>
        <v>86</v>
      </c>
      <c r="M9">
        <v>22</v>
      </c>
      <c r="N9">
        <v>8</v>
      </c>
      <c r="O9">
        <v>13</v>
      </c>
      <c r="P9">
        <v>206</v>
      </c>
      <c r="Q9">
        <v>40</v>
      </c>
      <c r="R9">
        <v>6</v>
      </c>
      <c r="S9">
        <v>3</v>
      </c>
      <c r="T9">
        <v>42</v>
      </c>
      <c r="U9">
        <v>3</v>
      </c>
      <c r="V9">
        <v>11</v>
      </c>
      <c r="W9">
        <v>12</v>
      </c>
      <c r="X9">
        <v>5</v>
      </c>
      <c r="Y9">
        <v>57</v>
      </c>
      <c r="Z9">
        <v>7</v>
      </c>
      <c r="AA9">
        <v>0.49199999999999999</v>
      </c>
      <c r="AB9">
        <v>0.375</v>
      </c>
      <c r="AC9">
        <v>0.86699999999999999</v>
      </c>
      <c r="AD9">
        <v>36</v>
      </c>
      <c r="AE9">
        <v>0.193</v>
      </c>
      <c r="AF9">
        <v>0.5</v>
      </c>
      <c r="AG9">
        <f>(표1[[#This Row],[TB]]-표1[[#This Row],[H]])/표1[[#This Row],[AB]]</f>
        <v>0.18377088305489261</v>
      </c>
      <c r="AH9">
        <f>(표1[[#This Row],[TB]]-표1[[#This Row],[H]]+표1[[#This Row],[BB]]+표1[[#This Row],[SB]]-표1[[#This Row],[CS]])/표1[[#This Row],[AB]]</f>
        <v>0.28162291169451076</v>
      </c>
      <c r="AI9">
        <f>(표1[[#This Row],[TB]]+표1[[#This Row],[BB]]+표1[[#This Row],[HBP]]+표1[[#This Row],[SB]]-표1[[#This Row],[CS]])/(표1[[#This Row],[AB]]-표1[[#This Row],[H]]+표1[[#This Row],[CS]]+표1[[#This Row],[GDP]])</f>
        <v>0.81553398058252424</v>
      </c>
      <c r="AJ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75.307115789473684</v>
      </c>
      <c r="AK9">
        <f>표1[[#This Row],[RC]]/((표1[[#This Row],[AB]]-표1[[#This Row],[H]]+표1[[#This Row],[SAC]]+표1[[#This Row],[SF]]+표1[[#This Row],[CS]]+표1[[#This Row],[GDP]])/27)</f>
        <v>6.3940003972194637</v>
      </c>
      <c r="AL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0.37282188841201713</v>
      </c>
      <c r="AM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71.933999999999997</v>
      </c>
    </row>
    <row r="10" spans="1:39" x14ac:dyDescent="0.3">
      <c r="A10" t="str">
        <f>_xlfn.CONCAT(표1[[#This Row],[Year]],표1[[#This Row],[Player]])</f>
        <v>2002전준호</v>
      </c>
      <c r="B10">
        <v>2002</v>
      </c>
      <c r="C10">
        <v>9</v>
      </c>
      <c r="D10" t="s">
        <v>218</v>
      </c>
      <c r="E10" t="s">
        <v>192</v>
      </c>
      <c r="F10">
        <v>0.3</v>
      </c>
      <c r="G10">
        <v>126</v>
      </c>
      <c r="H10">
        <v>501</v>
      </c>
      <c r="I10">
        <v>420</v>
      </c>
      <c r="J10">
        <v>83</v>
      </c>
      <c r="K10">
        <v>126</v>
      </c>
      <c r="L10">
        <f>표1[[#This Row],[H]]-표1[[#This Row],[2B]]-표1[[#This Row],[3B]]-표1[[#This Row],[HR]]</f>
        <v>100</v>
      </c>
      <c r="M10">
        <v>15</v>
      </c>
      <c r="N10">
        <v>8</v>
      </c>
      <c r="O10">
        <v>3</v>
      </c>
      <c r="P10">
        <v>166</v>
      </c>
      <c r="Q10">
        <v>28</v>
      </c>
      <c r="R10">
        <v>14</v>
      </c>
      <c r="S10">
        <v>1</v>
      </c>
      <c r="T10">
        <v>53</v>
      </c>
      <c r="U10">
        <v>1</v>
      </c>
      <c r="V10">
        <v>26</v>
      </c>
      <c r="W10">
        <v>11</v>
      </c>
      <c r="X10">
        <v>13</v>
      </c>
      <c r="Y10">
        <v>51</v>
      </c>
      <c r="Z10">
        <v>2</v>
      </c>
      <c r="AA10">
        <v>0.39500000000000002</v>
      </c>
      <c r="AB10">
        <v>0.39400000000000002</v>
      </c>
      <c r="AC10">
        <v>0.78900000000000003</v>
      </c>
      <c r="AD10">
        <v>32</v>
      </c>
      <c r="AE10">
        <v>0.27800000000000002</v>
      </c>
      <c r="AF10">
        <v>0</v>
      </c>
      <c r="AG10">
        <f>(표1[[#This Row],[TB]]-표1[[#This Row],[H]])/표1[[#This Row],[AB]]</f>
        <v>9.5238095238095233E-2</v>
      </c>
      <c r="AH10">
        <f>(표1[[#This Row],[TB]]-표1[[#This Row],[H]]+표1[[#This Row],[BB]]+표1[[#This Row],[SB]]-표1[[#This Row],[CS]])/표1[[#This Row],[AB]]</f>
        <v>0.25714285714285712</v>
      </c>
      <c r="AI10">
        <f>(표1[[#This Row],[TB]]+표1[[#This Row],[BB]]+표1[[#This Row],[HBP]]+표1[[#This Row],[SB]]-표1[[#This Row],[CS]])/(표1[[#This Row],[AB]]-표1[[#This Row],[H]]+표1[[#This Row],[CS]]+표1[[#This Row],[GDP]])</f>
        <v>0.80456026058631924</v>
      </c>
      <c r="AJ1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72.964830339321352</v>
      </c>
      <c r="AK10">
        <f>표1[[#This Row],[RC]]/((표1[[#This Row],[AB]]-표1[[#This Row],[H]]+표1[[#This Row],[SAC]]+표1[[#This Row],[SF]]+표1[[#This Row],[CS]]+표1[[#This Row],[GDP]])/27)</f>
        <v>6.118169003607691</v>
      </c>
      <c r="AL1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0.35286213991769549</v>
      </c>
      <c r="AM1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70.27200000000002</v>
      </c>
    </row>
    <row r="11" spans="1:39" x14ac:dyDescent="0.3">
      <c r="A11" t="str">
        <f>_xlfn.CONCAT(표1[[#This Row],[Year]],표1[[#This Row],[Player]])</f>
        <v>2002이병규</v>
      </c>
      <c r="B11">
        <v>2002</v>
      </c>
      <c r="C11">
        <v>10</v>
      </c>
      <c r="D11" t="s">
        <v>219</v>
      </c>
      <c r="E11" t="s">
        <v>196</v>
      </c>
      <c r="F11">
        <v>0.29299999999999998</v>
      </c>
      <c r="G11">
        <v>109</v>
      </c>
      <c r="H11">
        <v>444</v>
      </c>
      <c r="I11">
        <v>389</v>
      </c>
      <c r="J11">
        <v>54</v>
      </c>
      <c r="K11">
        <v>114</v>
      </c>
      <c r="L11">
        <f>표1[[#This Row],[H]]-표1[[#This Row],[2B]]-표1[[#This Row],[3B]]-표1[[#This Row],[HR]]</f>
        <v>77</v>
      </c>
      <c r="M11">
        <v>25</v>
      </c>
      <c r="N11">
        <v>0</v>
      </c>
      <c r="O11">
        <v>12</v>
      </c>
      <c r="P11">
        <v>175</v>
      </c>
      <c r="Q11">
        <v>43</v>
      </c>
      <c r="R11">
        <v>1</v>
      </c>
      <c r="S11">
        <v>2</v>
      </c>
      <c r="T11">
        <v>50</v>
      </c>
      <c r="U11">
        <v>12</v>
      </c>
      <c r="V11">
        <v>9</v>
      </c>
      <c r="W11">
        <v>6</v>
      </c>
      <c r="X11">
        <v>2</v>
      </c>
      <c r="Y11">
        <v>57</v>
      </c>
      <c r="Z11">
        <v>6</v>
      </c>
      <c r="AA11">
        <v>0.45</v>
      </c>
      <c r="AB11">
        <v>0.375</v>
      </c>
      <c r="AC11">
        <v>0.82499999999999996</v>
      </c>
      <c r="AD11">
        <v>30</v>
      </c>
      <c r="AE11">
        <v>0.253</v>
      </c>
      <c r="AF11">
        <v>0</v>
      </c>
      <c r="AG11">
        <f>(표1[[#This Row],[TB]]-표1[[#This Row],[H]])/표1[[#This Row],[AB]]</f>
        <v>0.15681233933161953</v>
      </c>
      <c r="AH11">
        <f>(표1[[#This Row],[TB]]-표1[[#This Row],[H]]+표1[[#This Row],[BB]]+표1[[#This Row],[SB]]-표1[[#This Row],[CS]])/표1[[#This Row],[AB]]</f>
        <v>0.29305912596401029</v>
      </c>
      <c r="AI11">
        <f>(표1[[#This Row],[TB]]+표1[[#This Row],[BB]]+표1[[#This Row],[HBP]]+표1[[#This Row],[SB]]-표1[[#This Row],[CS]])/(표1[[#This Row],[AB]]-표1[[#This Row],[H]]+표1[[#This Row],[CS]]+표1[[#This Row],[GDP]])</f>
        <v>0.80139372822299648</v>
      </c>
      <c r="AJ1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66.469729729729735</v>
      </c>
      <c r="AK11">
        <f>표1[[#This Row],[RC]]/((표1[[#This Row],[AB]]-표1[[#This Row],[H]]+표1[[#This Row],[SAC]]+표1[[#This Row],[SF]]+표1[[#This Row],[CS]]+표1[[#This Row],[GDP]])/27)</f>
        <v>6.1885610438024239</v>
      </c>
      <c r="AL1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0.35241531322505798</v>
      </c>
      <c r="AM1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63.434000000000012</v>
      </c>
    </row>
    <row r="12" spans="1:39" x14ac:dyDescent="0.3">
      <c r="A12" t="str">
        <f>_xlfn.CONCAT(표1[[#This Row],[Year]],표1[[#This Row],[Player]])</f>
        <v>2002이종범</v>
      </c>
      <c r="B12">
        <v>2002</v>
      </c>
      <c r="C12">
        <v>11</v>
      </c>
      <c r="D12" t="s">
        <v>220</v>
      </c>
      <c r="E12" t="s">
        <v>190</v>
      </c>
      <c r="F12">
        <v>0.29299999999999998</v>
      </c>
      <c r="G12">
        <v>123</v>
      </c>
      <c r="H12">
        <v>546</v>
      </c>
      <c r="I12">
        <v>485</v>
      </c>
      <c r="J12">
        <v>93</v>
      </c>
      <c r="K12">
        <v>142</v>
      </c>
      <c r="L12">
        <f>표1[[#This Row],[H]]-표1[[#This Row],[2B]]-표1[[#This Row],[3B]]-표1[[#This Row],[HR]]</f>
        <v>97</v>
      </c>
      <c r="M12">
        <v>25</v>
      </c>
      <c r="N12">
        <v>2</v>
      </c>
      <c r="O12">
        <v>18</v>
      </c>
      <c r="P12">
        <v>225</v>
      </c>
      <c r="Q12">
        <v>59</v>
      </c>
      <c r="R12">
        <v>4</v>
      </c>
      <c r="S12">
        <v>1</v>
      </c>
      <c r="T12">
        <v>43</v>
      </c>
      <c r="U12">
        <v>5</v>
      </c>
      <c r="V12">
        <v>35</v>
      </c>
      <c r="W12">
        <v>5</v>
      </c>
      <c r="X12">
        <v>13</v>
      </c>
      <c r="Y12">
        <v>63</v>
      </c>
      <c r="Z12">
        <v>7</v>
      </c>
      <c r="AA12">
        <v>0.46400000000000002</v>
      </c>
      <c r="AB12">
        <v>0.36499999999999999</v>
      </c>
      <c r="AC12">
        <v>0.82899999999999996</v>
      </c>
      <c r="AD12">
        <v>41</v>
      </c>
      <c r="AE12">
        <v>0.33700000000000002</v>
      </c>
      <c r="AF12">
        <v>0</v>
      </c>
      <c r="AG12">
        <f>(표1[[#This Row],[TB]]-표1[[#This Row],[H]])/표1[[#This Row],[AB]]</f>
        <v>0.1711340206185567</v>
      </c>
      <c r="AH12">
        <f>(표1[[#This Row],[TB]]-표1[[#This Row],[H]]+표1[[#This Row],[BB]]+표1[[#This Row],[SB]]-표1[[#This Row],[CS]])/표1[[#This Row],[AB]]</f>
        <v>0.3216494845360825</v>
      </c>
      <c r="AI12">
        <f>(표1[[#This Row],[TB]]+표1[[#This Row],[BB]]+표1[[#This Row],[HBP]]+표1[[#This Row],[SB]]-표1[[#This Row],[CS]])/(표1[[#This Row],[AB]]-표1[[#This Row],[H]]+표1[[#This Row],[CS]]+표1[[#This Row],[GDP]])</f>
        <v>0.87605633802816907</v>
      </c>
      <c r="AJ1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88.251208791208796</v>
      </c>
      <c r="AK12">
        <f>표1[[#This Row],[RC]]/((표1[[#This Row],[AB]]-표1[[#This Row],[H]]+표1[[#This Row],[SAC]]+표1[[#This Row],[SF]]+표1[[#This Row],[CS]]+표1[[#This Row],[GDP]])/27)</f>
        <v>6.618840659340659</v>
      </c>
      <c r="AL1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0.35949162011173191</v>
      </c>
      <c r="AM1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84.355999999999995</v>
      </c>
    </row>
    <row r="13" spans="1:39" x14ac:dyDescent="0.3">
      <c r="A13" t="str">
        <f>_xlfn.CONCAT(표1[[#This Row],[Year]],표1[[#This Row],[Player]])</f>
        <v>2002송지만</v>
      </c>
      <c r="B13">
        <v>2002</v>
      </c>
      <c r="C13">
        <v>12</v>
      </c>
      <c r="D13" t="s">
        <v>221</v>
      </c>
      <c r="E13" t="s">
        <v>194</v>
      </c>
      <c r="F13">
        <v>0.29099999999999998</v>
      </c>
      <c r="G13">
        <v>131</v>
      </c>
      <c r="H13">
        <v>557</v>
      </c>
      <c r="I13">
        <v>488</v>
      </c>
      <c r="J13">
        <v>84</v>
      </c>
      <c r="K13">
        <v>142</v>
      </c>
      <c r="L13">
        <f>표1[[#This Row],[H]]-표1[[#This Row],[2B]]-표1[[#This Row],[3B]]-표1[[#This Row],[HR]]</f>
        <v>84</v>
      </c>
      <c r="M13">
        <v>18</v>
      </c>
      <c r="N13">
        <v>2</v>
      </c>
      <c r="O13">
        <v>38</v>
      </c>
      <c r="P13">
        <v>278</v>
      </c>
      <c r="Q13">
        <v>104</v>
      </c>
      <c r="R13">
        <v>0</v>
      </c>
      <c r="S13">
        <v>2</v>
      </c>
      <c r="T13">
        <v>58</v>
      </c>
      <c r="U13">
        <v>4</v>
      </c>
      <c r="V13">
        <v>8</v>
      </c>
      <c r="W13">
        <v>3</v>
      </c>
      <c r="X13">
        <v>9</v>
      </c>
      <c r="Y13">
        <v>136</v>
      </c>
      <c r="Z13">
        <v>14</v>
      </c>
      <c r="AA13">
        <v>0.56999999999999995</v>
      </c>
      <c r="AB13">
        <v>0.375</v>
      </c>
      <c r="AC13">
        <v>0.94499999999999995</v>
      </c>
      <c r="AD13">
        <v>37</v>
      </c>
      <c r="AE13">
        <v>0.29499999999999998</v>
      </c>
      <c r="AF13">
        <v>0</v>
      </c>
      <c r="AG13">
        <f>(표1[[#This Row],[TB]]-표1[[#This Row],[H]])/표1[[#This Row],[AB]]</f>
        <v>0.27868852459016391</v>
      </c>
      <c r="AH13">
        <f>(표1[[#This Row],[TB]]-표1[[#This Row],[H]]+표1[[#This Row],[BB]]+표1[[#This Row],[SB]]-표1[[#This Row],[CS]])/표1[[#This Row],[AB]]</f>
        <v>0.40778688524590162</v>
      </c>
      <c r="AI13">
        <f>(표1[[#This Row],[TB]]+표1[[#This Row],[BB]]+표1[[#This Row],[HBP]]+표1[[#This Row],[SB]]-표1[[#This Row],[CS]])/(표1[[#This Row],[AB]]-표1[[#This Row],[H]]+표1[[#This Row],[CS]]+표1[[#This Row],[GDP]])</f>
        <v>0.96418732782369143</v>
      </c>
      <c r="AJ1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103.26635547576302</v>
      </c>
      <c r="AK13">
        <f>표1[[#This Row],[RC]]/((표1[[#This Row],[AB]]-표1[[#This Row],[H]]+표1[[#This Row],[SAC]]+표1[[#This Row],[SF]]+표1[[#This Row],[CS]]+표1[[#This Row],[GDP]])/27)</f>
        <v>7.6388810899879491</v>
      </c>
      <c r="AL1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0.4015985533453888</v>
      </c>
      <c r="AM1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97.991999999999976</v>
      </c>
    </row>
    <row r="14" spans="1:39" x14ac:dyDescent="0.3">
      <c r="A14" t="str">
        <f>_xlfn.CONCAT(표1[[#This Row],[Year]],표1[[#This Row],[Player]])</f>
        <v>2002채종범</v>
      </c>
      <c r="B14">
        <v>2002</v>
      </c>
      <c r="C14">
        <v>13</v>
      </c>
      <c r="D14" t="s">
        <v>222</v>
      </c>
      <c r="E14" t="s">
        <v>195</v>
      </c>
      <c r="F14">
        <v>0.29099999999999998</v>
      </c>
      <c r="G14">
        <v>127</v>
      </c>
      <c r="H14">
        <v>557</v>
      </c>
      <c r="I14">
        <v>478</v>
      </c>
      <c r="J14">
        <v>79</v>
      </c>
      <c r="K14">
        <v>139</v>
      </c>
      <c r="L14">
        <f>표1[[#This Row],[H]]-표1[[#This Row],[2B]]-표1[[#This Row],[3B]]-표1[[#This Row],[HR]]</f>
        <v>101</v>
      </c>
      <c r="M14">
        <v>19</v>
      </c>
      <c r="N14">
        <v>2</v>
      </c>
      <c r="O14">
        <v>17</v>
      </c>
      <c r="P14">
        <v>213</v>
      </c>
      <c r="Q14">
        <v>68</v>
      </c>
      <c r="R14">
        <v>11</v>
      </c>
      <c r="S14">
        <v>3</v>
      </c>
      <c r="T14">
        <v>47</v>
      </c>
      <c r="U14">
        <v>1</v>
      </c>
      <c r="V14">
        <v>10</v>
      </c>
      <c r="W14">
        <v>9</v>
      </c>
      <c r="X14">
        <v>18</v>
      </c>
      <c r="Y14">
        <v>70</v>
      </c>
      <c r="Z14">
        <v>17</v>
      </c>
      <c r="AA14">
        <v>0.44600000000000001</v>
      </c>
      <c r="AB14">
        <v>0.374</v>
      </c>
      <c r="AC14">
        <v>0.82</v>
      </c>
      <c r="AD14">
        <v>38</v>
      </c>
      <c r="AE14">
        <v>0.377</v>
      </c>
      <c r="AF14">
        <v>0</v>
      </c>
      <c r="AG14">
        <f>(표1[[#This Row],[TB]]-표1[[#This Row],[H]])/표1[[#This Row],[AB]]</f>
        <v>0.15481171548117154</v>
      </c>
      <c r="AH14">
        <f>(표1[[#This Row],[TB]]-표1[[#This Row],[H]]+표1[[#This Row],[BB]]+표1[[#This Row],[SB]]-표1[[#This Row],[CS]])/표1[[#This Row],[AB]]</f>
        <v>0.25523012552301255</v>
      </c>
      <c r="AI14">
        <f>(표1[[#This Row],[TB]]+표1[[#This Row],[BB]]+표1[[#This Row],[HBP]]+표1[[#This Row],[SB]]-표1[[#This Row],[CS]])/(표1[[#This Row],[AB]]-표1[[#This Row],[H]]+표1[[#This Row],[CS]]+표1[[#This Row],[GDP]])</f>
        <v>0.76438356164383559</v>
      </c>
      <c r="AJ1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77.374075403949718</v>
      </c>
      <c r="AK14">
        <f>표1[[#This Row],[RC]]/((표1[[#This Row],[AB]]-표1[[#This Row],[H]]+표1[[#This Row],[SAC]]+표1[[#This Row],[SF]]+표1[[#This Row],[CS]]+표1[[#This Row],[GDP]])/27)</f>
        <v>5.5121372979067083</v>
      </c>
      <c r="AL1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0.35985504587155964</v>
      </c>
      <c r="AM1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75.860000000000014</v>
      </c>
    </row>
    <row r="15" spans="1:39" x14ac:dyDescent="0.3">
      <c r="A15" t="str">
        <f>_xlfn.CONCAT(표1[[#This Row],[Year]],표1[[#This Row],[Player]])</f>
        <v>2002홍성흔</v>
      </c>
      <c r="B15">
        <v>2002</v>
      </c>
      <c r="C15">
        <v>14</v>
      </c>
      <c r="D15" t="s">
        <v>223</v>
      </c>
      <c r="E15" t="s">
        <v>193</v>
      </c>
      <c r="F15">
        <v>0.28899999999999998</v>
      </c>
      <c r="G15">
        <v>127</v>
      </c>
      <c r="H15">
        <v>484</v>
      </c>
      <c r="I15">
        <v>432</v>
      </c>
      <c r="J15">
        <v>51</v>
      </c>
      <c r="K15">
        <v>125</v>
      </c>
      <c r="L15">
        <f>표1[[#This Row],[H]]-표1[[#This Row],[2B]]-표1[[#This Row],[3B]]-표1[[#This Row],[HR]]</f>
        <v>90</v>
      </c>
      <c r="M15">
        <v>17</v>
      </c>
      <c r="N15">
        <v>0</v>
      </c>
      <c r="O15">
        <v>18</v>
      </c>
      <c r="P15">
        <v>196</v>
      </c>
      <c r="Q15">
        <v>70</v>
      </c>
      <c r="R15">
        <v>7</v>
      </c>
      <c r="S15">
        <v>3</v>
      </c>
      <c r="T15">
        <v>37</v>
      </c>
      <c r="U15">
        <v>1</v>
      </c>
      <c r="V15">
        <v>5</v>
      </c>
      <c r="W15">
        <v>3</v>
      </c>
      <c r="X15">
        <v>5</v>
      </c>
      <c r="Y15">
        <v>63</v>
      </c>
      <c r="Z15">
        <v>17</v>
      </c>
      <c r="AA15">
        <v>0.45400000000000001</v>
      </c>
      <c r="AB15">
        <v>0.35</v>
      </c>
      <c r="AC15">
        <v>0.80400000000000005</v>
      </c>
      <c r="AD15">
        <v>32</v>
      </c>
      <c r="AE15">
        <v>0.32100000000000001</v>
      </c>
      <c r="AF15">
        <v>0</v>
      </c>
      <c r="AG15">
        <f>(표1[[#This Row],[TB]]-표1[[#This Row],[H]])/표1[[#This Row],[AB]]</f>
        <v>0.16435185185185186</v>
      </c>
      <c r="AH15">
        <f>(표1[[#This Row],[TB]]-표1[[#This Row],[H]]+표1[[#This Row],[BB]]+표1[[#This Row],[SB]]-표1[[#This Row],[CS]])/표1[[#This Row],[AB]]</f>
        <v>0.25462962962962965</v>
      </c>
      <c r="AI15">
        <f>(표1[[#This Row],[TB]]+표1[[#This Row],[BB]]+표1[[#This Row],[HBP]]+표1[[#This Row],[SB]]-표1[[#This Row],[CS]])/(표1[[#This Row],[AB]]-표1[[#This Row],[H]]+표1[[#This Row],[CS]]+표1[[#This Row],[GDP]])</f>
        <v>0.73394495412844041</v>
      </c>
      <c r="AJ1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65.135578512396705</v>
      </c>
      <c r="AK15">
        <f>표1[[#This Row],[RC]]/((표1[[#This Row],[AB]]-표1[[#This Row],[H]]+표1[[#This Row],[SAC]]+표1[[#This Row],[SF]]+표1[[#This Row],[CS]]+표1[[#This Row],[GDP]])/27)</f>
        <v>5.2185775069279261</v>
      </c>
      <c r="AL1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0.34970378151260506</v>
      </c>
      <c r="AM1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64.256</v>
      </c>
    </row>
    <row r="16" spans="1:39" x14ac:dyDescent="0.3">
      <c r="A16" t="str">
        <f>_xlfn.CONCAT(표1[[#This Row],[Year]],표1[[#This Row],[Player]])</f>
        <v>2002이호준</v>
      </c>
      <c r="B16">
        <v>2002</v>
      </c>
      <c r="C16">
        <v>15</v>
      </c>
      <c r="D16" t="s">
        <v>209</v>
      </c>
      <c r="E16" t="s">
        <v>195</v>
      </c>
      <c r="F16">
        <v>0.28799999999999998</v>
      </c>
      <c r="G16">
        <v>129</v>
      </c>
      <c r="H16">
        <v>499</v>
      </c>
      <c r="I16">
        <v>444</v>
      </c>
      <c r="J16">
        <v>76</v>
      </c>
      <c r="K16">
        <v>128</v>
      </c>
      <c r="L16">
        <f>표1[[#This Row],[H]]-표1[[#This Row],[2B]]-표1[[#This Row],[3B]]-표1[[#This Row],[HR]]</f>
        <v>79</v>
      </c>
      <c r="M16">
        <v>24</v>
      </c>
      <c r="N16">
        <v>2</v>
      </c>
      <c r="O16">
        <v>23</v>
      </c>
      <c r="P16">
        <v>225</v>
      </c>
      <c r="Q16">
        <v>64</v>
      </c>
      <c r="R16">
        <v>4</v>
      </c>
      <c r="S16">
        <v>2</v>
      </c>
      <c r="T16">
        <v>45</v>
      </c>
      <c r="U16">
        <v>3</v>
      </c>
      <c r="V16">
        <v>5</v>
      </c>
      <c r="W16">
        <v>3</v>
      </c>
      <c r="X16">
        <v>4</v>
      </c>
      <c r="Y16">
        <v>75</v>
      </c>
      <c r="Z16">
        <v>12</v>
      </c>
      <c r="AA16">
        <v>0.50700000000000001</v>
      </c>
      <c r="AB16">
        <v>0.35799999999999998</v>
      </c>
      <c r="AC16">
        <v>0.86499999999999999</v>
      </c>
      <c r="AD16">
        <v>34</v>
      </c>
      <c r="AE16">
        <v>0.29099999999999998</v>
      </c>
      <c r="AF16">
        <v>0.28599999999999998</v>
      </c>
      <c r="AG16">
        <f>(표1[[#This Row],[TB]]-표1[[#This Row],[H]])/표1[[#This Row],[AB]]</f>
        <v>0.21846846846846846</v>
      </c>
      <c r="AH16">
        <f>(표1[[#This Row],[TB]]-표1[[#This Row],[H]]+표1[[#This Row],[BB]]+표1[[#This Row],[SB]]-표1[[#This Row],[CS]])/표1[[#This Row],[AB]]</f>
        <v>0.32432432432432434</v>
      </c>
      <c r="AI16">
        <f>(표1[[#This Row],[TB]]+표1[[#This Row],[BB]]+표1[[#This Row],[HBP]]+표1[[#This Row],[SB]]-표1[[#This Row],[CS]])/(표1[[#This Row],[AB]]-표1[[#This Row],[H]]+표1[[#This Row],[CS]]+표1[[#This Row],[GDP]])</f>
        <v>0.83383685800604235</v>
      </c>
      <c r="AJ1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78.785891783567138</v>
      </c>
      <c r="AK16">
        <f>표1[[#This Row],[RC]]/((표1[[#This Row],[AB]]-표1[[#This Row],[H]]+표1[[#This Row],[SAC]]+표1[[#This Row],[SF]]+표1[[#This Row],[CS]]+표1[[#This Row],[GDP]])/27)</f>
        <v>6.3122227838466252</v>
      </c>
      <c r="AL1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0.37080081300813006</v>
      </c>
      <c r="AM1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75.73</v>
      </c>
    </row>
    <row r="17" spans="1:39" x14ac:dyDescent="0.3">
      <c r="A17" t="str">
        <f>_xlfn.CONCAT(표1[[#This Row],[Year]],표1[[#This Row],[Player]])</f>
        <v>2002안경현</v>
      </c>
      <c r="B17">
        <v>2002</v>
      </c>
      <c r="C17">
        <v>16</v>
      </c>
      <c r="D17" t="s">
        <v>224</v>
      </c>
      <c r="E17" t="s">
        <v>193</v>
      </c>
      <c r="F17">
        <v>0.28799999999999998</v>
      </c>
      <c r="G17">
        <v>130</v>
      </c>
      <c r="H17">
        <v>548</v>
      </c>
      <c r="I17">
        <v>486</v>
      </c>
      <c r="J17">
        <v>50</v>
      </c>
      <c r="K17">
        <v>140</v>
      </c>
      <c r="L17">
        <f>표1[[#This Row],[H]]-표1[[#This Row],[2B]]-표1[[#This Row],[3B]]-표1[[#This Row],[HR]]</f>
        <v>104</v>
      </c>
      <c r="M17">
        <v>24</v>
      </c>
      <c r="N17">
        <v>4</v>
      </c>
      <c r="O17">
        <v>8</v>
      </c>
      <c r="P17">
        <v>196</v>
      </c>
      <c r="Q17">
        <v>58</v>
      </c>
      <c r="R17">
        <v>7</v>
      </c>
      <c r="S17">
        <v>6</v>
      </c>
      <c r="T17">
        <v>44</v>
      </c>
      <c r="U17">
        <v>0</v>
      </c>
      <c r="V17">
        <v>5</v>
      </c>
      <c r="W17">
        <v>4</v>
      </c>
      <c r="X17">
        <v>5</v>
      </c>
      <c r="Y17">
        <v>65</v>
      </c>
      <c r="Z17">
        <v>13</v>
      </c>
      <c r="AA17">
        <v>0.40300000000000002</v>
      </c>
      <c r="AB17">
        <v>0.34899999999999998</v>
      </c>
      <c r="AC17">
        <v>0.752</v>
      </c>
      <c r="AD17">
        <v>40</v>
      </c>
      <c r="AE17">
        <v>0.24399999999999999</v>
      </c>
      <c r="AF17">
        <v>0</v>
      </c>
      <c r="AG17">
        <f>(표1[[#This Row],[TB]]-표1[[#This Row],[H]])/표1[[#This Row],[AB]]</f>
        <v>0.11522633744855967</v>
      </c>
      <c r="AH17">
        <f>(표1[[#This Row],[TB]]-표1[[#This Row],[H]]+표1[[#This Row],[BB]]+표1[[#This Row],[SB]]-표1[[#This Row],[CS]])/표1[[#This Row],[AB]]</f>
        <v>0.20781893004115226</v>
      </c>
      <c r="AI17">
        <f>(표1[[#This Row],[TB]]+표1[[#This Row],[BB]]+표1[[#This Row],[HBP]]+표1[[#This Row],[SB]]-표1[[#This Row],[CS]])/(표1[[#This Row],[AB]]-표1[[#This Row],[H]]+표1[[#This Row],[CS]]+표1[[#This Row],[GDP]])</f>
        <v>0.6776859504132231</v>
      </c>
      <c r="AJ1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68.454744525547454</v>
      </c>
      <c r="AK17">
        <f>표1[[#This Row],[RC]]/((표1[[#This Row],[AB]]-표1[[#This Row],[H]]+표1[[#This Row],[SAC]]+표1[[#This Row],[SF]]+표1[[#This Row],[CS]]+표1[[#This Row],[GDP]])/27)</f>
        <v>4.9156332505047375</v>
      </c>
      <c r="AL1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0.33078373382624771</v>
      </c>
      <c r="AM1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67.269999999999982</v>
      </c>
    </row>
    <row r="18" spans="1:39" x14ac:dyDescent="0.3">
      <c r="A18" t="str">
        <f>_xlfn.CONCAT(표1[[#This Row],[Year]],표1[[#This Row],[Player]])</f>
        <v>2002박용택</v>
      </c>
      <c r="B18">
        <v>2002</v>
      </c>
      <c r="C18">
        <v>17</v>
      </c>
      <c r="D18" t="s">
        <v>228</v>
      </c>
      <c r="E18" t="s">
        <v>196</v>
      </c>
      <c r="F18">
        <v>0.28799999999999998</v>
      </c>
      <c r="G18">
        <v>112</v>
      </c>
      <c r="H18">
        <v>424</v>
      </c>
      <c r="I18">
        <v>375</v>
      </c>
      <c r="J18">
        <v>68</v>
      </c>
      <c r="K18">
        <v>108</v>
      </c>
      <c r="L18">
        <f>표1[[#This Row],[H]]-표1[[#This Row],[2B]]-표1[[#This Row],[3B]]-표1[[#This Row],[HR]]</f>
        <v>65</v>
      </c>
      <c r="M18">
        <v>28</v>
      </c>
      <c r="N18">
        <v>6</v>
      </c>
      <c r="O18">
        <v>9</v>
      </c>
      <c r="P18">
        <v>175</v>
      </c>
      <c r="Q18">
        <v>55</v>
      </c>
      <c r="R18">
        <v>1</v>
      </c>
      <c r="S18">
        <v>4</v>
      </c>
      <c r="T18">
        <v>38</v>
      </c>
      <c r="U18">
        <v>1</v>
      </c>
      <c r="V18">
        <v>20</v>
      </c>
      <c r="W18">
        <v>5</v>
      </c>
      <c r="X18">
        <v>6</v>
      </c>
      <c r="Y18">
        <v>109</v>
      </c>
      <c r="Z18">
        <v>11</v>
      </c>
      <c r="AA18">
        <v>0.46700000000000003</v>
      </c>
      <c r="AB18">
        <v>0.35899999999999999</v>
      </c>
      <c r="AC18">
        <v>0.82599999999999996</v>
      </c>
      <c r="AD18">
        <v>31</v>
      </c>
      <c r="AE18">
        <v>0.317</v>
      </c>
      <c r="AF18">
        <v>0.5</v>
      </c>
      <c r="AG18">
        <f>(표1[[#This Row],[TB]]-표1[[#This Row],[H]])/표1[[#This Row],[AB]]</f>
        <v>0.17866666666666667</v>
      </c>
      <c r="AH18">
        <f>(표1[[#This Row],[TB]]-표1[[#This Row],[H]]+표1[[#This Row],[BB]]+표1[[#This Row],[SB]]-표1[[#This Row],[CS]])/표1[[#This Row],[AB]]</f>
        <v>0.32</v>
      </c>
      <c r="AI18">
        <f>(표1[[#This Row],[TB]]+표1[[#This Row],[BB]]+표1[[#This Row],[HBP]]+표1[[#This Row],[SB]]-표1[[#This Row],[CS]])/(표1[[#This Row],[AB]]-표1[[#This Row],[H]]+표1[[#This Row],[CS]]+표1[[#This Row],[GDP]])</f>
        <v>0.82685512367491165</v>
      </c>
      <c r="AJ1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63.887924528301888</v>
      </c>
      <c r="AK18">
        <f>표1[[#This Row],[RC]]/((표1[[#This Row],[AB]]-표1[[#This Row],[H]]+표1[[#This Row],[SAC]]+표1[[#This Row],[SF]]+표1[[#This Row],[CS]]+표1[[#This Row],[GDP]])/27)</f>
        <v>5.9894929245283022</v>
      </c>
      <c r="AL1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0.35695497630331752</v>
      </c>
      <c r="AM1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61.277999999999999</v>
      </c>
    </row>
    <row r="19" spans="1:39" x14ac:dyDescent="0.3">
      <c r="A19" t="str">
        <f>_xlfn.CONCAT(표1[[#This Row],[Year]],표1[[#This Row],[Player]])</f>
        <v>2002강동우</v>
      </c>
      <c r="B19">
        <v>2002</v>
      </c>
      <c r="C19">
        <v>18</v>
      </c>
      <c r="D19" t="s">
        <v>225</v>
      </c>
      <c r="E19" t="s">
        <v>191</v>
      </c>
      <c r="F19">
        <v>0.28799999999999998</v>
      </c>
      <c r="G19">
        <v>130</v>
      </c>
      <c r="H19">
        <v>521</v>
      </c>
      <c r="I19">
        <v>466</v>
      </c>
      <c r="J19">
        <v>75</v>
      </c>
      <c r="K19">
        <v>134</v>
      </c>
      <c r="L19">
        <f>표1[[#This Row],[H]]-표1[[#This Row],[2B]]-표1[[#This Row],[3B]]-표1[[#This Row],[HR]]</f>
        <v>99</v>
      </c>
      <c r="M19">
        <v>23</v>
      </c>
      <c r="N19">
        <v>3</v>
      </c>
      <c r="O19">
        <v>9</v>
      </c>
      <c r="P19">
        <v>190</v>
      </c>
      <c r="Q19">
        <v>49</v>
      </c>
      <c r="R19">
        <v>7</v>
      </c>
      <c r="S19">
        <v>1</v>
      </c>
      <c r="T19">
        <v>46</v>
      </c>
      <c r="U19">
        <v>0</v>
      </c>
      <c r="V19">
        <v>11</v>
      </c>
      <c r="W19">
        <v>6</v>
      </c>
      <c r="X19">
        <v>1</v>
      </c>
      <c r="Y19">
        <v>76</v>
      </c>
      <c r="Z19">
        <v>9</v>
      </c>
      <c r="AA19">
        <v>0.40799999999999997</v>
      </c>
      <c r="AB19">
        <v>0.35199999999999998</v>
      </c>
      <c r="AC19">
        <v>0.76</v>
      </c>
      <c r="AD19">
        <v>36</v>
      </c>
      <c r="AE19">
        <v>0.33</v>
      </c>
      <c r="AF19">
        <v>0</v>
      </c>
      <c r="AG19">
        <f>(표1[[#This Row],[TB]]-표1[[#This Row],[H]])/표1[[#This Row],[AB]]</f>
        <v>0.12017167381974249</v>
      </c>
      <c r="AH19">
        <f>(표1[[#This Row],[TB]]-표1[[#This Row],[H]]+표1[[#This Row],[BB]]+표1[[#This Row],[SB]]-표1[[#This Row],[CS]])/표1[[#This Row],[AB]]</f>
        <v>0.2296137339055794</v>
      </c>
      <c r="AI19">
        <f>(표1[[#This Row],[TB]]+표1[[#This Row],[BB]]+표1[[#This Row],[HBP]]+표1[[#This Row],[SB]]-표1[[#This Row],[CS]])/(표1[[#This Row],[AB]]-표1[[#This Row],[H]]+표1[[#This Row],[CS]]+표1[[#This Row],[GDP]])</f>
        <v>0.69740634005763691</v>
      </c>
      <c r="AJ1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67.578886756238006</v>
      </c>
      <c r="AK19">
        <f>표1[[#This Row],[RC]]/((표1[[#This Row],[AB]]-표1[[#This Row],[H]]+표1[[#This Row],[SAC]]+표1[[#This Row],[SF]]+표1[[#This Row],[CS]]+표1[[#This Row],[GDP]])/27)</f>
        <v>5.1398026546997917</v>
      </c>
      <c r="AL1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0.3350894941634241</v>
      </c>
      <c r="AM1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65.012000000000015</v>
      </c>
    </row>
    <row r="20" spans="1:39" x14ac:dyDescent="0.3">
      <c r="A20" t="str">
        <f>_xlfn.CONCAT(표1[[#This Row],[Year]],표1[[#This Row],[Player]])</f>
        <v>2002데이비스</v>
      </c>
      <c r="B20">
        <v>2002</v>
      </c>
      <c r="C20">
        <v>19</v>
      </c>
      <c r="D20" t="s">
        <v>226</v>
      </c>
      <c r="E20" t="s">
        <v>194</v>
      </c>
      <c r="F20">
        <v>0.28699999999999998</v>
      </c>
      <c r="G20">
        <v>115</v>
      </c>
      <c r="H20">
        <v>456</v>
      </c>
      <c r="I20">
        <v>404</v>
      </c>
      <c r="J20">
        <v>56</v>
      </c>
      <c r="K20">
        <v>116</v>
      </c>
      <c r="L20">
        <f>표1[[#This Row],[H]]-표1[[#This Row],[2B]]-표1[[#This Row],[3B]]-표1[[#This Row],[HR]]</f>
        <v>71</v>
      </c>
      <c r="M20">
        <v>23</v>
      </c>
      <c r="N20">
        <v>1</v>
      </c>
      <c r="O20">
        <v>21</v>
      </c>
      <c r="P20">
        <v>204</v>
      </c>
      <c r="Q20">
        <v>72</v>
      </c>
      <c r="R20">
        <v>0</v>
      </c>
      <c r="S20">
        <v>2</v>
      </c>
      <c r="T20">
        <v>46</v>
      </c>
      <c r="U20">
        <v>5</v>
      </c>
      <c r="V20">
        <v>14</v>
      </c>
      <c r="W20">
        <v>9</v>
      </c>
      <c r="X20">
        <v>4</v>
      </c>
      <c r="Y20">
        <v>97</v>
      </c>
      <c r="Z20">
        <v>6</v>
      </c>
      <c r="AA20">
        <v>0.505</v>
      </c>
      <c r="AB20">
        <v>0.36399999999999999</v>
      </c>
      <c r="AC20">
        <v>0.86899999999999999</v>
      </c>
      <c r="AD20">
        <v>29</v>
      </c>
      <c r="AE20">
        <v>0.26500000000000001</v>
      </c>
      <c r="AF20">
        <v>0.2</v>
      </c>
      <c r="AG20">
        <f>(표1[[#This Row],[TB]]-표1[[#This Row],[H]])/표1[[#This Row],[AB]]</f>
        <v>0.21782178217821782</v>
      </c>
      <c r="AH20">
        <f>(표1[[#This Row],[TB]]-표1[[#This Row],[H]]+표1[[#This Row],[BB]]+표1[[#This Row],[SB]]-표1[[#This Row],[CS]])/표1[[#This Row],[AB]]</f>
        <v>0.34405940594059403</v>
      </c>
      <c r="AI20">
        <f>(표1[[#This Row],[TB]]+표1[[#This Row],[BB]]+표1[[#This Row],[HBP]]+표1[[#This Row],[SB]]-표1[[#This Row],[CS]])/(표1[[#This Row],[AB]]-표1[[#This Row],[H]]+표1[[#This Row],[CS]]+표1[[#This Row],[GDP]])</f>
        <v>0.8547854785478548</v>
      </c>
      <c r="AJ2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74.182061403508769</v>
      </c>
      <c r="AK20">
        <f>표1[[#This Row],[RC]]/((표1[[#This Row],[AB]]-표1[[#This Row],[H]]+표1[[#This Row],[SAC]]+표1[[#This Row],[SF]]+표1[[#This Row],[CS]]+표1[[#This Row],[GDP]])/27)</f>
        <v>6.5669365832614321</v>
      </c>
      <c r="AL2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0.37185144124168518</v>
      </c>
      <c r="AM2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71.353999999999999</v>
      </c>
    </row>
    <row r="21" spans="1:39" x14ac:dyDescent="0.3">
      <c r="A21" t="str">
        <f>_xlfn.CONCAT(표1[[#This Row],[Year]],표1[[#This Row],[Player]])</f>
        <v>2002김종국</v>
      </c>
      <c r="B21">
        <v>2002</v>
      </c>
      <c r="C21">
        <v>20</v>
      </c>
      <c r="D21" t="s">
        <v>227</v>
      </c>
      <c r="E21" t="s">
        <v>190</v>
      </c>
      <c r="F21">
        <v>0.28699999999999998</v>
      </c>
      <c r="G21">
        <v>133</v>
      </c>
      <c r="H21">
        <v>595</v>
      </c>
      <c r="I21">
        <v>527</v>
      </c>
      <c r="J21">
        <v>95</v>
      </c>
      <c r="K21">
        <v>151</v>
      </c>
      <c r="L21">
        <f>표1[[#This Row],[H]]-표1[[#This Row],[2B]]-표1[[#This Row],[3B]]-표1[[#This Row],[HR]]</f>
        <v>114</v>
      </c>
      <c r="M21">
        <v>26</v>
      </c>
      <c r="N21">
        <v>3</v>
      </c>
      <c r="O21">
        <v>8</v>
      </c>
      <c r="P21">
        <v>207</v>
      </c>
      <c r="Q21">
        <v>53</v>
      </c>
      <c r="R21">
        <v>3</v>
      </c>
      <c r="S21">
        <v>1</v>
      </c>
      <c r="T21">
        <v>61</v>
      </c>
      <c r="U21">
        <v>0</v>
      </c>
      <c r="V21">
        <v>50</v>
      </c>
      <c r="W21">
        <v>9</v>
      </c>
      <c r="X21">
        <v>3</v>
      </c>
      <c r="Y21">
        <v>116</v>
      </c>
      <c r="Z21">
        <v>5</v>
      </c>
      <c r="AA21">
        <v>0.39300000000000002</v>
      </c>
      <c r="AB21">
        <v>0.36299999999999999</v>
      </c>
      <c r="AC21">
        <v>0.75600000000000001</v>
      </c>
      <c r="AD21">
        <v>41</v>
      </c>
      <c r="AE21">
        <v>0.29799999999999999</v>
      </c>
      <c r="AF21">
        <v>1</v>
      </c>
      <c r="AG21">
        <f>(표1[[#This Row],[TB]]-표1[[#This Row],[H]])/표1[[#This Row],[AB]]</f>
        <v>0.10626185958254269</v>
      </c>
      <c r="AH21">
        <f>(표1[[#This Row],[TB]]-표1[[#This Row],[H]]+표1[[#This Row],[BB]]+표1[[#This Row],[SB]]-표1[[#This Row],[CS]])/표1[[#This Row],[AB]]</f>
        <v>0.29981024667931688</v>
      </c>
      <c r="AI21">
        <f>(표1[[#This Row],[TB]]+표1[[#This Row],[BB]]+표1[[#This Row],[HBP]]+표1[[#This Row],[SB]]-표1[[#This Row],[CS]])/(표1[[#This Row],[AB]]-표1[[#This Row],[H]]+표1[[#This Row],[CS]]+표1[[#This Row],[GDP]])</f>
        <v>0.8</v>
      </c>
      <c r="AJ2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85.034823529411767</v>
      </c>
      <c r="AK21">
        <f>표1[[#This Row],[RC]]/((표1[[#This Row],[AB]]-표1[[#This Row],[H]]+표1[[#This Row],[SAC]]+표1[[#This Row],[SF]]+표1[[#This Row],[CS]]+표1[[#This Row],[GDP]])/27)</f>
        <v>5.8272594804419224</v>
      </c>
      <c r="AL2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0.33617905405405402</v>
      </c>
      <c r="AM2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82.112000000000023</v>
      </c>
    </row>
    <row r="22" spans="1:39" x14ac:dyDescent="0.3">
      <c r="A22" t="str">
        <f>_xlfn.CONCAT(표1[[#This Row],[Year]],표1[[#This Row],[Player]])</f>
        <v>2002최기문</v>
      </c>
      <c r="B22">
        <v>2002</v>
      </c>
      <c r="C22">
        <v>21</v>
      </c>
      <c r="D22" t="s">
        <v>229</v>
      </c>
      <c r="E22" t="s">
        <v>197</v>
      </c>
      <c r="F22">
        <v>0.28499999999999998</v>
      </c>
      <c r="G22">
        <v>123</v>
      </c>
      <c r="H22">
        <v>415</v>
      </c>
      <c r="I22">
        <v>383</v>
      </c>
      <c r="J22">
        <v>34</v>
      </c>
      <c r="K22">
        <v>109</v>
      </c>
      <c r="L22">
        <f>표1[[#This Row],[H]]-표1[[#This Row],[2B]]-표1[[#This Row],[3B]]-표1[[#This Row],[HR]]</f>
        <v>75</v>
      </c>
      <c r="M22">
        <v>22</v>
      </c>
      <c r="N22">
        <v>4</v>
      </c>
      <c r="O22">
        <v>8</v>
      </c>
      <c r="P22">
        <v>163</v>
      </c>
      <c r="Q22">
        <v>50</v>
      </c>
      <c r="R22">
        <v>2</v>
      </c>
      <c r="S22">
        <v>0</v>
      </c>
      <c r="T22">
        <v>27</v>
      </c>
      <c r="U22">
        <v>5</v>
      </c>
      <c r="V22">
        <v>1</v>
      </c>
      <c r="W22">
        <v>4</v>
      </c>
      <c r="X22">
        <v>3</v>
      </c>
      <c r="Y22">
        <v>44</v>
      </c>
      <c r="Z22">
        <v>9</v>
      </c>
      <c r="AA22">
        <v>0.42599999999999999</v>
      </c>
      <c r="AB22">
        <v>0.33700000000000002</v>
      </c>
      <c r="AC22">
        <v>0.76300000000000001</v>
      </c>
      <c r="AD22">
        <v>23</v>
      </c>
      <c r="AE22">
        <v>0.29199999999999998</v>
      </c>
      <c r="AF22">
        <v>0</v>
      </c>
      <c r="AG22">
        <f>(표1[[#This Row],[TB]]-표1[[#This Row],[H]])/표1[[#This Row],[AB]]</f>
        <v>0.14099216710182769</v>
      </c>
      <c r="AH22">
        <f>(표1[[#This Row],[TB]]-표1[[#This Row],[H]]+표1[[#This Row],[BB]]+표1[[#This Row],[SB]]-표1[[#This Row],[CS]])/표1[[#This Row],[AB]]</f>
        <v>0.20365535248041775</v>
      </c>
      <c r="AI22">
        <f>(표1[[#This Row],[TB]]+표1[[#This Row],[BB]]+표1[[#This Row],[HBP]]+표1[[#This Row],[SB]]-표1[[#This Row],[CS]])/(표1[[#This Row],[AB]]-표1[[#This Row],[H]]+표1[[#This Row],[CS]]+표1[[#This Row],[GDP]])</f>
        <v>0.66202090592334495</v>
      </c>
      <c r="AJ2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51.936289156626508</v>
      </c>
      <c r="AK22">
        <f>표1[[#This Row],[RC]]/((표1[[#This Row],[AB]]-표1[[#This Row],[H]]+표1[[#This Row],[SAC]]+표1[[#This Row],[SF]]+표1[[#This Row],[CS]]+표1[[#This Row],[GDP]])/27)</f>
        <v>4.8521792637678738</v>
      </c>
      <c r="AL2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0.32881862745098034</v>
      </c>
      <c r="AM2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49.407999999999994</v>
      </c>
    </row>
    <row r="23" spans="1:39" x14ac:dyDescent="0.3">
      <c r="A23" t="str">
        <f>_xlfn.CONCAT(표1[[#This Row],[Year]],표1[[#This Row],[Player]])</f>
        <v>2002이숭용</v>
      </c>
      <c r="B23">
        <v>2002</v>
      </c>
      <c r="C23">
        <v>22</v>
      </c>
      <c r="D23" t="s">
        <v>231</v>
      </c>
      <c r="E23" t="s">
        <v>192</v>
      </c>
      <c r="F23">
        <v>0.28399999999999997</v>
      </c>
      <c r="G23">
        <v>125</v>
      </c>
      <c r="H23">
        <v>480</v>
      </c>
      <c r="I23">
        <v>422</v>
      </c>
      <c r="J23">
        <v>63</v>
      </c>
      <c r="K23">
        <v>120</v>
      </c>
      <c r="L23">
        <f>표1[[#This Row],[H]]-표1[[#This Row],[2B]]-표1[[#This Row],[3B]]-표1[[#This Row],[HR]]</f>
        <v>81</v>
      </c>
      <c r="M23">
        <v>18</v>
      </c>
      <c r="N23">
        <v>2</v>
      </c>
      <c r="O23">
        <v>19</v>
      </c>
      <c r="P23">
        <v>199</v>
      </c>
      <c r="Q23">
        <v>76</v>
      </c>
      <c r="R23">
        <v>4</v>
      </c>
      <c r="S23">
        <v>2</v>
      </c>
      <c r="T23">
        <v>40</v>
      </c>
      <c r="U23">
        <v>2</v>
      </c>
      <c r="V23">
        <v>7</v>
      </c>
      <c r="W23">
        <v>2</v>
      </c>
      <c r="X23">
        <v>12</v>
      </c>
      <c r="Y23">
        <v>54</v>
      </c>
      <c r="Z23">
        <v>11</v>
      </c>
      <c r="AA23">
        <v>0.47199999999999998</v>
      </c>
      <c r="AB23">
        <v>0.36099999999999999</v>
      </c>
      <c r="AC23">
        <v>0.83299999999999996</v>
      </c>
      <c r="AD23">
        <v>31</v>
      </c>
      <c r="AE23">
        <v>0.28699999999999998</v>
      </c>
      <c r="AF23">
        <v>0</v>
      </c>
      <c r="AG23">
        <f>(표1[[#This Row],[TB]]-표1[[#This Row],[H]])/표1[[#This Row],[AB]]</f>
        <v>0.1872037914691943</v>
      </c>
      <c r="AH23">
        <f>(표1[[#This Row],[TB]]-표1[[#This Row],[H]]+표1[[#This Row],[BB]]+표1[[#This Row],[SB]]-표1[[#This Row],[CS]])/표1[[#This Row],[AB]]</f>
        <v>0.29383886255924169</v>
      </c>
      <c r="AI23">
        <f>(표1[[#This Row],[TB]]+표1[[#This Row],[BB]]+표1[[#This Row],[HBP]]+표1[[#This Row],[SB]]-표1[[#This Row],[CS]])/(표1[[#This Row],[AB]]-표1[[#This Row],[H]]+표1[[#This Row],[CS]]+표1[[#This Row],[GDP]])</f>
        <v>0.8126984126984127</v>
      </c>
      <c r="AJ2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72.464249999999993</v>
      </c>
      <c r="AK23">
        <f>표1[[#This Row],[RC]]/((표1[[#This Row],[AB]]-표1[[#This Row],[H]]+표1[[#This Row],[SAC]]+표1[[#This Row],[SF]]+표1[[#This Row],[CS]]+표1[[#This Row],[GDP]])/27)</f>
        <v>6.0951238317756999</v>
      </c>
      <c r="AL2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0.36168776371308015</v>
      </c>
      <c r="AM2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70.237999999999985</v>
      </c>
    </row>
    <row r="24" spans="1:39" x14ac:dyDescent="0.3">
      <c r="A24" t="str">
        <f>_xlfn.CONCAT(표1[[#This Row],[Year]],표1[[#This Row],[Player]])</f>
        <v>2002김응국</v>
      </c>
      <c r="B24">
        <v>2002</v>
      </c>
      <c r="C24">
        <v>23</v>
      </c>
      <c r="D24" t="s">
        <v>230</v>
      </c>
      <c r="E24" t="s">
        <v>197</v>
      </c>
      <c r="F24">
        <v>0.28399999999999997</v>
      </c>
      <c r="G24">
        <v>116</v>
      </c>
      <c r="H24">
        <v>412</v>
      </c>
      <c r="I24">
        <v>373</v>
      </c>
      <c r="J24">
        <v>35</v>
      </c>
      <c r="K24">
        <v>106</v>
      </c>
      <c r="L24">
        <f>표1[[#This Row],[H]]-표1[[#This Row],[2B]]-표1[[#This Row],[3B]]-표1[[#This Row],[HR]]</f>
        <v>85</v>
      </c>
      <c r="M24">
        <v>15</v>
      </c>
      <c r="N24">
        <v>3</v>
      </c>
      <c r="O24">
        <v>3</v>
      </c>
      <c r="P24">
        <v>136</v>
      </c>
      <c r="Q24">
        <v>49</v>
      </c>
      <c r="R24">
        <v>2</v>
      </c>
      <c r="S24">
        <v>1</v>
      </c>
      <c r="T24">
        <v>34</v>
      </c>
      <c r="U24">
        <v>2</v>
      </c>
      <c r="V24">
        <v>12</v>
      </c>
      <c r="W24">
        <v>5</v>
      </c>
      <c r="X24">
        <v>2</v>
      </c>
      <c r="Y24">
        <v>58</v>
      </c>
      <c r="Z24">
        <v>8</v>
      </c>
      <c r="AA24">
        <v>0.36499999999999999</v>
      </c>
      <c r="AB24">
        <v>0.34599999999999997</v>
      </c>
      <c r="AC24">
        <v>0.71099999999999997</v>
      </c>
      <c r="AD24">
        <v>24</v>
      </c>
      <c r="AE24">
        <v>0.29099999999999998</v>
      </c>
      <c r="AF24">
        <v>0.3</v>
      </c>
      <c r="AG24">
        <f>(표1[[#This Row],[TB]]-표1[[#This Row],[H]])/표1[[#This Row],[AB]]</f>
        <v>8.0428954423592491E-2</v>
      </c>
      <c r="AH24">
        <f>(표1[[#This Row],[TB]]-표1[[#This Row],[H]]+표1[[#This Row],[BB]]+표1[[#This Row],[SB]]-표1[[#This Row],[CS]])/표1[[#This Row],[AB]]</f>
        <v>0.19034852546916889</v>
      </c>
      <c r="AI24">
        <f>(표1[[#This Row],[TB]]+표1[[#This Row],[BB]]+표1[[#This Row],[HBP]]+표1[[#This Row],[SB]]-표1[[#This Row],[CS]])/(표1[[#This Row],[AB]]-표1[[#This Row],[H]]+표1[[#This Row],[CS]]+표1[[#This Row],[GDP]])</f>
        <v>0.63928571428571423</v>
      </c>
      <c r="AJ2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47.792621359223304</v>
      </c>
      <c r="AK24">
        <f>표1[[#This Row],[RC]]/((표1[[#This Row],[AB]]-표1[[#This Row],[H]]+표1[[#This Row],[SAC]]+표1[[#This Row],[SF]]+표1[[#This Row],[CS]]+표1[[#This Row],[GDP]])/27)</f>
        <v>4.5597200590071703</v>
      </c>
      <c r="AL2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0.31496078431372548</v>
      </c>
      <c r="AM2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46.35599999999998</v>
      </c>
    </row>
    <row r="25" spans="1:39" x14ac:dyDescent="0.3">
      <c r="A25" t="str">
        <f>_xlfn.CONCAT(표1[[#This Row],[Year]],표1[[#This Row],[Player]])</f>
        <v>2002브리또</v>
      </c>
      <c r="B25">
        <v>2002</v>
      </c>
      <c r="C25">
        <v>24</v>
      </c>
      <c r="D25" t="s">
        <v>232</v>
      </c>
      <c r="E25" t="s">
        <v>191</v>
      </c>
      <c r="F25">
        <v>0.28299999999999997</v>
      </c>
      <c r="G25">
        <v>128</v>
      </c>
      <c r="H25">
        <v>545</v>
      </c>
      <c r="I25">
        <v>481</v>
      </c>
      <c r="J25">
        <v>89</v>
      </c>
      <c r="K25">
        <v>136</v>
      </c>
      <c r="L25">
        <f>표1[[#This Row],[H]]-표1[[#This Row],[2B]]-표1[[#This Row],[3B]]-표1[[#This Row],[HR]]</f>
        <v>82</v>
      </c>
      <c r="M25">
        <v>29</v>
      </c>
      <c r="N25">
        <v>0</v>
      </c>
      <c r="O25">
        <v>25</v>
      </c>
      <c r="P25">
        <v>240</v>
      </c>
      <c r="Q25">
        <v>90</v>
      </c>
      <c r="R25">
        <v>4</v>
      </c>
      <c r="S25">
        <v>4</v>
      </c>
      <c r="T25">
        <v>35</v>
      </c>
      <c r="U25">
        <v>3</v>
      </c>
      <c r="V25">
        <v>1</v>
      </c>
      <c r="W25">
        <v>2</v>
      </c>
      <c r="X25">
        <v>21</v>
      </c>
      <c r="Y25">
        <v>84</v>
      </c>
      <c r="Z25">
        <v>10</v>
      </c>
      <c r="AA25">
        <v>0.499</v>
      </c>
      <c r="AB25">
        <v>0.35499999999999998</v>
      </c>
      <c r="AC25">
        <v>0.85399999999999998</v>
      </c>
      <c r="AD25">
        <v>40</v>
      </c>
      <c r="AE25">
        <v>0.28599999999999998</v>
      </c>
      <c r="AF25">
        <v>0</v>
      </c>
      <c r="AG25">
        <f>(표1[[#This Row],[TB]]-표1[[#This Row],[H]])/표1[[#This Row],[AB]]</f>
        <v>0.21621621621621623</v>
      </c>
      <c r="AH25">
        <f>(표1[[#This Row],[TB]]-표1[[#This Row],[H]]+표1[[#This Row],[BB]]+표1[[#This Row],[SB]]-표1[[#This Row],[CS]])/표1[[#This Row],[AB]]</f>
        <v>0.28690228690228692</v>
      </c>
      <c r="AI25">
        <f>(표1[[#This Row],[TB]]+표1[[#This Row],[BB]]+표1[[#This Row],[HBP]]+표1[[#This Row],[SB]]-표1[[#This Row],[CS]])/(표1[[#This Row],[AB]]-표1[[#This Row],[H]]+표1[[#This Row],[CS]]+표1[[#This Row],[GDP]])</f>
        <v>0.8263305322128851</v>
      </c>
      <c r="AJ2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85.36293577981651</v>
      </c>
      <c r="AK25">
        <f>표1[[#This Row],[RC]]/((표1[[#This Row],[AB]]-표1[[#This Row],[H]]+표1[[#This Row],[SAC]]+표1[[#This Row],[SF]]+표1[[#This Row],[CS]]+표1[[#This Row],[GDP]])/27)</f>
        <v>6.3145185371371113</v>
      </c>
      <c r="AL2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0.36740706319702598</v>
      </c>
      <c r="AM2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82.408000000000001</v>
      </c>
    </row>
    <row r="26" spans="1:39" x14ac:dyDescent="0.3">
      <c r="A26" t="str">
        <f>_xlfn.CONCAT(표1[[#This Row],[Year]],표1[[#This Row],[Player]])</f>
        <v>2002진갑용</v>
      </c>
      <c r="B26">
        <v>2002</v>
      </c>
      <c r="C26">
        <v>25</v>
      </c>
      <c r="D26" t="s">
        <v>233</v>
      </c>
      <c r="E26" t="s">
        <v>191</v>
      </c>
      <c r="F26">
        <v>0.28100000000000003</v>
      </c>
      <c r="G26">
        <v>133</v>
      </c>
      <c r="H26">
        <v>517</v>
      </c>
      <c r="I26">
        <v>462</v>
      </c>
      <c r="J26">
        <v>58</v>
      </c>
      <c r="K26">
        <v>130</v>
      </c>
      <c r="L26">
        <f>표1[[#This Row],[H]]-표1[[#This Row],[2B]]-표1[[#This Row],[3B]]-표1[[#This Row],[HR]]</f>
        <v>82</v>
      </c>
      <c r="M26">
        <v>29</v>
      </c>
      <c r="N26">
        <v>1</v>
      </c>
      <c r="O26">
        <v>18</v>
      </c>
      <c r="P26">
        <v>215</v>
      </c>
      <c r="Q26">
        <v>86</v>
      </c>
      <c r="R26">
        <v>1</v>
      </c>
      <c r="S26">
        <v>5</v>
      </c>
      <c r="T26">
        <v>41</v>
      </c>
      <c r="U26">
        <v>4</v>
      </c>
      <c r="V26">
        <v>0</v>
      </c>
      <c r="W26">
        <v>0</v>
      </c>
      <c r="X26">
        <v>8</v>
      </c>
      <c r="Y26">
        <v>56</v>
      </c>
      <c r="Z26">
        <v>13</v>
      </c>
      <c r="AA26">
        <v>0.46500000000000002</v>
      </c>
      <c r="AB26">
        <v>0.34699999999999998</v>
      </c>
      <c r="AC26">
        <v>0.81200000000000006</v>
      </c>
      <c r="AD26">
        <v>34</v>
      </c>
      <c r="AE26">
        <v>0.35799999999999998</v>
      </c>
      <c r="AF26">
        <v>0</v>
      </c>
      <c r="AG26">
        <f>(표1[[#This Row],[TB]]-표1[[#This Row],[H]])/표1[[#This Row],[AB]]</f>
        <v>0.18398268398268397</v>
      </c>
      <c r="AH26">
        <f>(표1[[#This Row],[TB]]-표1[[#This Row],[H]]+표1[[#This Row],[BB]]+표1[[#This Row],[SB]]-표1[[#This Row],[CS]])/표1[[#This Row],[AB]]</f>
        <v>0.27272727272727271</v>
      </c>
      <c r="AI26">
        <f>(표1[[#This Row],[TB]]+표1[[#This Row],[BB]]+표1[[#This Row],[HBP]]+표1[[#This Row],[SB]]-표1[[#This Row],[CS]])/(표1[[#This Row],[AB]]-표1[[#This Row],[H]]+표1[[#This Row],[CS]]+표1[[#This Row],[GDP]])</f>
        <v>0.76521739130434785</v>
      </c>
      <c r="AJ2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73.791334622823982</v>
      </c>
      <c r="AK26">
        <f>표1[[#This Row],[RC]]/((표1[[#This Row],[AB]]-표1[[#This Row],[H]]+표1[[#This Row],[SAC]]+표1[[#This Row],[SF]]+표1[[#This Row],[CS]]+표1[[#This Row],[GDP]])/27)</f>
        <v>5.6762565094479989</v>
      </c>
      <c r="AL2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0.34945507812499998</v>
      </c>
      <c r="AM2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71.891999999999982</v>
      </c>
    </row>
    <row r="27" spans="1:39" x14ac:dyDescent="0.3">
      <c r="A27" t="str">
        <f>_xlfn.CONCAT(표1[[#This Row],[Year]],표1[[#This Row],[Player]])</f>
        <v>2002페르난데스</v>
      </c>
      <c r="B27">
        <v>2002</v>
      </c>
      <c r="C27">
        <v>26</v>
      </c>
      <c r="D27" t="s">
        <v>234</v>
      </c>
      <c r="E27" t="s">
        <v>195</v>
      </c>
      <c r="F27">
        <v>0.28100000000000003</v>
      </c>
      <c r="G27">
        <v>132</v>
      </c>
      <c r="H27">
        <v>556</v>
      </c>
      <c r="I27">
        <v>499</v>
      </c>
      <c r="J27">
        <v>81</v>
      </c>
      <c r="K27">
        <v>140</v>
      </c>
      <c r="L27">
        <f>표1[[#This Row],[H]]-표1[[#This Row],[2B]]-표1[[#This Row],[3B]]-표1[[#This Row],[HR]]</f>
        <v>71</v>
      </c>
      <c r="M27">
        <v>24</v>
      </c>
      <c r="N27">
        <v>0</v>
      </c>
      <c r="O27">
        <v>45</v>
      </c>
      <c r="P27">
        <v>299</v>
      </c>
      <c r="Q27">
        <v>107</v>
      </c>
      <c r="R27">
        <v>0</v>
      </c>
      <c r="S27">
        <v>1</v>
      </c>
      <c r="T27">
        <v>49</v>
      </c>
      <c r="U27">
        <v>2</v>
      </c>
      <c r="V27">
        <v>4</v>
      </c>
      <c r="W27">
        <v>4</v>
      </c>
      <c r="X27">
        <v>7</v>
      </c>
      <c r="Y27">
        <v>114</v>
      </c>
      <c r="Z27">
        <v>8</v>
      </c>
      <c r="AA27">
        <v>0.59899999999999998</v>
      </c>
      <c r="AB27">
        <v>0.35299999999999998</v>
      </c>
      <c r="AC27">
        <v>0.95199999999999996</v>
      </c>
      <c r="AD27">
        <v>42</v>
      </c>
      <c r="AE27">
        <v>0.30299999999999999</v>
      </c>
      <c r="AF27">
        <v>0</v>
      </c>
      <c r="AG27">
        <f>(표1[[#This Row],[TB]]-표1[[#This Row],[H]])/표1[[#This Row],[AB]]</f>
        <v>0.31863727454909818</v>
      </c>
      <c r="AH27">
        <f>(표1[[#This Row],[TB]]-표1[[#This Row],[H]]+표1[[#This Row],[BB]]+표1[[#This Row],[SB]]-표1[[#This Row],[CS]])/표1[[#This Row],[AB]]</f>
        <v>0.41683366733466931</v>
      </c>
      <c r="AI27">
        <f>(표1[[#This Row],[TB]]+표1[[#This Row],[BB]]+표1[[#This Row],[HBP]]+표1[[#This Row],[SB]]-표1[[#This Row],[CS]])/(표1[[#This Row],[AB]]-표1[[#This Row],[H]]+표1[[#This Row],[CS]]+표1[[#This Row],[GDP]])</f>
        <v>0.95687331536388143</v>
      </c>
      <c r="AJ2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104.45640287769785</v>
      </c>
      <c r="AK27">
        <f>표1[[#This Row],[RC]]/((표1[[#This Row],[AB]]-표1[[#This Row],[H]]+표1[[#This Row],[SAC]]+표1[[#This Row],[SF]]+표1[[#This Row],[CS]]+표1[[#This Row],[GDP]])/27)</f>
        <v>7.5815131120909731</v>
      </c>
      <c r="AL2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0.40265884476534292</v>
      </c>
      <c r="AM2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100.06800000000001</v>
      </c>
    </row>
    <row r="28" spans="1:39" x14ac:dyDescent="0.3">
      <c r="A28" t="str">
        <f>_xlfn.CONCAT(표1[[#This Row],[Year]],표1[[#This Row],[Player]])</f>
        <v>2002폴</v>
      </c>
      <c r="B28">
        <v>2002</v>
      </c>
      <c r="C28">
        <v>27</v>
      </c>
      <c r="D28" t="s">
        <v>235</v>
      </c>
      <c r="E28" t="s">
        <v>192</v>
      </c>
      <c r="F28">
        <v>0.28000000000000003</v>
      </c>
      <c r="G28">
        <v>113</v>
      </c>
      <c r="H28">
        <v>441</v>
      </c>
      <c r="I28">
        <v>397</v>
      </c>
      <c r="J28">
        <v>48</v>
      </c>
      <c r="K28">
        <v>111</v>
      </c>
      <c r="L28">
        <f>표1[[#This Row],[H]]-표1[[#This Row],[2B]]-표1[[#This Row],[3B]]-표1[[#This Row],[HR]]</f>
        <v>73</v>
      </c>
      <c r="M28">
        <v>18</v>
      </c>
      <c r="N28">
        <v>2</v>
      </c>
      <c r="O28">
        <v>18</v>
      </c>
      <c r="P28">
        <v>187</v>
      </c>
      <c r="Q28">
        <v>64</v>
      </c>
      <c r="R28">
        <v>1</v>
      </c>
      <c r="S28">
        <v>2</v>
      </c>
      <c r="T28">
        <v>35</v>
      </c>
      <c r="U28">
        <v>1</v>
      </c>
      <c r="V28">
        <v>3</v>
      </c>
      <c r="W28">
        <v>2</v>
      </c>
      <c r="X28">
        <v>6</v>
      </c>
      <c r="Y28">
        <v>115</v>
      </c>
      <c r="Z28">
        <v>11</v>
      </c>
      <c r="AA28">
        <v>0.47099999999999997</v>
      </c>
      <c r="AB28">
        <v>0.34499999999999997</v>
      </c>
      <c r="AC28">
        <v>0.81599999999999995</v>
      </c>
      <c r="AD28">
        <v>26</v>
      </c>
      <c r="AE28">
        <v>0.25700000000000001</v>
      </c>
      <c r="AF28">
        <v>0.25</v>
      </c>
      <c r="AG28">
        <f>(표1[[#This Row],[TB]]-표1[[#This Row],[H]])/표1[[#This Row],[AB]]</f>
        <v>0.19143576826196473</v>
      </c>
      <c r="AH28">
        <f>(표1[[#This Row],[TB]]-표1[[#This Row],[H]]+표1[[#This Row],[BB]]+표1[[#This Row],[SB]]-표1[[#This Row],[CS]])/표1[[#This Row],[AB]]</f>
        <v>0.28211586901763225</v>
      </c>
      <c r="AI28">
        <f>(표1[[#This Row],[TB]]+표1[[#This Row],[BB]]+표1[[#This Row],[HBP]]+표1[[#This Row],[SB]]-표1[[#This Row],[CS]])/(표1[[#This Row],[AB]]-표1[[#This Row],[H]]+표1[[#This Row],[CS]]+표1[[#This Row],[GDP]])</f>
        <v>0.76588628762541811</v>
      </c>
      <c r="AJ2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63.202448979591843</v>
      </c>
      <c r="AK28">
        <f>표1[[#This Row],[RC]]/((표1[[#This Row],[AB]]-표1[[#This Row],[H]]+표1[[#This Row],[SAC]]+표1[[#This Row],[SF]]+표1[[#This Row],[CS]]+표1[[#This Row],[GDP]])/27)</f>
        <v>5.6505500743343697</v>
      </c>
      <c r="AL2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0.35356264236902052</v>
      </c>
      <c r="AM2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61.26</v>
      </c>
    </row>
    <row r="29" spans="1:39" x14ac:dyDescent="0.3">
      <c r="A29" t="str">
        <f>_xlfn.CONCAT(표1[[#This Row],[Year]],표1[[#This Row],[Player]])</f>
        <v>2002마르티네스</v>
      </c>
      <c r="B29">
        <v>2002</v>
      </c>
      <c r="C29">
        <v>28</v>
      </c>
      <c r="D29" t="s">
        <v>236</v>
      </c>
      <c r="E29" t="s">
        <v>196</v>
      </c>
      <c r="F29">
        <v>0.27900000000000003</v>
      </c>
      <c r="G29">
        <v>109</v>
      </c>
      <c r="H29">
        <v>468</v>
      </c>
      <c r="I29">
        <v>409</v>
      </c>
      <c r="J29">
        <v>59</v>
      </c>
      <c r="K29">
        <v>114</v>
      </c>
      <c r="L29">
        <f>표1[[#This Row],[H]]-표1[[#This Row],[2B]]-표1[[#This Row],[3B]]-표1[[#This Row],[HR]]</f>
        <v>79</v>
      </c>
      <c r="M29">
        <v>19</v>
      </c>
      <c r="N29">
        <v>1</v>
      </c>
      <c r="O29">
        <v>15</v>
      </c>
      <c r="P29">
        <v>180</v>
      </c>
      <c r="Q29">
        <v>69</v>
      </c>
      <c r="R29">
        <v>0</v>
      </c>
      <c r="S29">
        <v>6</v>
      </c>
      <c r="T29">
        <v>49</v>
      </c>
      <c r="U29">
        <v>7</v>
      </c>
      <c r="V29">
        <v>22</v>
      </c>
      <c r="W29">
        <v>12</v>
      </c>
      <c r="X29">
        <v>4</v>
      </c>
      <c r="Y29">
        <v>70</v>
      </c>
      <c r="Z29">
        <v>5</v>
      </c>
      <c r="AA29">
        <v>0.44</v>
      </c>
      <c r="AB29">
        <v>0.35699999999999998</v>
      </c>
      <c r="AC29">
        <v>0.79700000000000004</v>
      </c>
      <c r="AD29">
        <v>34</v>
      </c>
      <c r="AE29">
        <v>0.30099999999999999</v>
      </c>
      <c r="AF29">
        <v>0</v>
      </c>
      <c r="AG29">
        <f>(표1[[#This Row],[TB]]-표1[[#This Row],[H]])/표1[[#This Row],[AB]]</f>
        <v>0.16136919315403422</v>
      </c>
      <c r="AH29">
        <f>(표1[[#This Row],[TB]]-표1[[#This Row],[H]]+표1[[#This Row],[BB]]+표1[[#This Row],[SB]]-표1[[#This Row],[CS]])/표1[[#This Row],[AB]]</f>
        <v>0.30562347188264061</v>
      </c>
      <c r="AI29">
        <f>(표1[[#This Row],[TB]]+표1[[#This Row],[BB]]+표1[[#This Row],[HBP]]+표1[[#This Row],[SB]]-표1[[#This Row],[CS]])/(표1[[#This Row],[AB]]-표1[[#This Row],[H]]+표1[[#This Row],[CS]]+표1[[#This Row],[GDP]])</f>
        <v>0.77884615384615385</v>
      </c>
      <c r="AJ2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66.192307692307693</v>
      </c>
      <c r="AK29">
        <f>표1[[#This Row],[RC]]/((표1[[#This Row],[AB]]-표1[[#This Row],[H]]+표1[[#This Row],[SAC]]+표1[[#This Row],[SF]]+표1[[#This Row],[CS]]+표1[[#This Row],[GDP]])/27)</f>
        <v>5.6201015965166903</v>
      </c>
      <c r="AL2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0.34293275488069414</v>
      </c>
      <c r="AM2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66.589999999999989</v>
      </c>
    </row>
    <row r="30" spans="1:39" x14ac:dyDescent="0.3">
      <c r="A30" t="str">
        <f>_xlfn.CONCAT(표1[[#This Row],[Year]],표1[[#This Row],[Player]])</f>
        <v>2002박재홍</v>
      </c>
      <c r="B30">
        <v>2002</v>
      </c>
      <c r="C30">
        <v>29</v>
      </c>
      <c r="D30" t="s">
        <v>237</v>
      </c>
      <c r="E30" t="s">
        <v>192</v>
      </c>
      <c r="F30">
        <v>0.27800000000000002</v>
      </c>
      <c r="G30">
        <v>112</v>
      </c>
      <c r="H30">
        <v>481</v>
      </c>
      <c r="I30">
        <v>432</v>
      </c>
      <c r="J30">
        <v>57</v>
      </c>
      <c r="K30">
        <v>120</v>
      </c>
      <c r="L30">
        <f>표1[[#This Row],[H]]-표1[[#This Row],[2B]]-표1[[#This Row],[3B]]-표1[[#This Row],[HR]]</f>
        <v>81</v>
      </c>
      <c r="M30">
        <v>24</v>
      </c>
      <c r="N30">
        <v>0</v>
      </c>
      <c r="O30">
        <v>15</v>
      </c>
      <c r="P30">
        <v>189</v>
      </c>
      <c r="Q30">
        <v>67</v>
      </c>
      <c r="R30">
        <v>0</v>
      </c>
      <c r="S30">
        <v>4</v>
      </c>
      <c r="T30">
        <v>41</v>
      </c>
      <c r="U30">
        <v>2</v>
      </c>
      <c r="V30">
        <v>12</v>
      </c>
      <c r="W30">
        <v>8</v>
      </c>
      <c r="X30">
        <v>4</v>
      </c>
      <c r="Y30">
        <v>94</v>
      </c>
      <c r="Z30">
        <v>10</v>
      </c>
      <c r="AA30">
        <v>0.438</v>
      </c>
      <c r="AB30">
        <v>0.34300000000000003</v>
      </c>
      <c r="AC30">
        <v>0.78100000000000003</v>
      </c>
      <c r="AD30">
        <v>38</v>
      </c>
      <c r="AE30">
        <v>0.309</v>
      </c>
      <c r="AF30">
        <v>0.66700000000000004</v>
      </c>
      <c r="AG30">
        <f>(표1[[#This Row],[TB]]-표1[[#This Row],[H]])/표1[[#This Row],[AB]]</f>
        <v>0.15972222222222221</v>
      </c>
      <c r="AH30">
        <f>(표1[[#This Row],[TB]]-표1[[#This Row],[H]]+표1[[#This Row],[BB]]+표1[[#This Row],[SB]]-표1[[#This Row],[CS]])/표1[[#This Row],[AB]]</f>
        <v>0.2638888888888889</v>
      </c>
      <c r="AI30">
        <f>(표1[[#This Row],[TB]]+표1[[#This Row],[BB]]+표1[[#This Row],[HBP]]+표1[[#This Row],[SB]]-표1[[#This Row],[CS]])/(표1[[#This Row],[AB]]-표1[[#This Row],[H]]+표1[[#This Row],[CS]]+표1[[#This Row],[GDP]])</f>
        <v>0.72121212121212119</v>
      </c>
      <c r="AJ3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63.720374220374218</v>
      </c>
      <c r="AK30">
        <f>표1[[#This Row],[RC]]/((표1[[#This Row],[AB]]-표1[[#This Row],[H]]+표1[[#This Row],[SAC]]+표1[[#This Row],[SF]]+표1[[#This Row],[CS]]+표1[[#This Row],[GDP]])/27)</f>
        <v>5.1510482154194728</v>
      </c>
      <c r="AL3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0.33920459290187893</v>
      </c>
      <c r="AM3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63.047999999999981</v>
      </c>
    </row>
    <row r="31" spans="1:39" x14ac:dyDescent="0.3">
      <c r="A31" t="str">
        <f>_xlfn.CONCAT(표1[[#This Row],[Year]],표1[[#This Row],[Player]])</f>
        <v>2002양준혁</v>
      </c>
      <c r="B31">
        <v>2002</v>
      </c>
      <c r="C31">
        <v>30</v>
      </c>
      <c r="D31" t="s">
        <v>238</v>
      </c>
      <c r="E31" t="s">
        <v>191</v>
      </c>
      <c r="F31">
        <v>0.27600000000000002</v>
      </c>
      <c r="G31">
        <v>132</v>
      </c>
      <c r="H31">
        <v>437</v>
      </c>
      <c r="I31">
        <v>391</v>
      </c>
      <c r="J31">
        <v>60</v>
      </c>
      <c r="K31">
        <v>108</v>
      </c>
      <c r="L31">
        <f>표1[[#This Row],[H]]-표1[[#This Row],[2B]]-표1[[#This Row],[3B]]-표1[[#This Row],[HR]]</f>
        <v>69</v>
      </c>
      <c r="M31">
        <v>23</v>
      </c>
      <c r="N31">
        <v>2</v>
      </c>
      <c r="O31">
        <v>14</v>
      </c>
      <c r="P31">
        <v>177</v>
      </c>
      <c r="Q31">
        <v>50</v>
      </c>
      <c r="R31">
        <v>0</v>
      </c>
      <c r="S31">
        <v>1</v>
      </c>
      <c r="T31">
        <v>39</v>
      </c>
      <c r="U31">
        <v>3</v>
      </c>
      <c r="V31">
        <v>2</v>
      </c>
      <c r="W31">
        <v>3</v>
      </c>
      <c r="X31">
        <v>5</v>
      </c>
      <c r="Y31">
        <v>56</v>
      </c>
      <c r="Z31">
        <v>9</v>
      </c>
      <c r="AA31">
        <v>0.45300000000000001</v>
      </c>
      <c r="AB31">
        <v>0.34899999999999998</v>
      </c>
      <c r="AC31">
        <v>0.80200000000000005</v>
      </c>
      <c r="AD31">
        <v>27</v>
      </c>
      <c r="AE31">
        <v>0.23699999999999999</v>
      </c>
      <c r="AF31">
        <v>0.214</v>
      </c>
      <c r="AG31">
        <f>(표1[[#This Row],[TB]]-표1[[#This Row],[H]])/표1[[#This Row],[AB]]</f>
        <v>0.17647058823529413</v>
      </c>
      <c r="AH31">
        <f>(표1[[#This Row],[TB]]-표1[[#This Row],[H]]+표1[[#This Row],[BB]]+표1[[#This Row],[SB]]-표1[[#This Row],[CS]])/표1[[#This Row],[AB]]</f>
        <v>0.27365728900255754</v>
      </c>
      <c r="AI31">
        <f>(표1[[#This Row],[TB]]+표1[[#This Row],[BB]]+표1[[#This Row],[HBP]]+표1[[#This Row],[SB]]-표1[[#This Row],[CS]])/(표1[[#This Row],[AB]]-표1[[#This Row],[H]]+표1[[#This Row],[CS]]+표1[[#This Row],[GDP]])</f>
        <v>0.74576271186440679</v>
      </c>
      <c r="AJ3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60.758715596330276</v>
      </c>
      <c r="AK31">
        <f>표1[[#This Row],[RC]]/((표1[[#This Row],[AB]]-표1[[#This Row],[H]]+표1[[#This Row],[SAC]]+표1[[#This Row],[SF]]+표1[[#This Row],[CS]]+표1[[#This Row],[GDP]])/27)</f>
        <v>5.5421801388544507</v>
      </c>
      <c r="AL3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0.34732332563510399</v>
      </c>
      <c r="AM3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58.511999999999993</v>
      </c>
    </row>
    <row r="32" spans="1:39" x14ac:dyDescent="0.3">
      <c r="A32" t="str">
        <f>_xlfn.CONCAT(표1[[#This Row],[Year]],표1[[#This Row],[Player]])</f>
        <v>2002장원진</v>
      </c>
      <c r="B32">
        <v>2002</v>
      </c>
      <c r="C32">
        <v>31</v>
      </c>
      <c r="D32" t="s">
        <v>239</v>
      </c>
      <c r="E32" t="s">
        <v>193</v>
      </c>
      <c r="F32">
        <v>0.27500000000000002</v>
      </c>
      <c r="G32">
        <v>130</v>
      </c>
      <c r="H32">
        <v>488</v>
      </c>
      <c r="I32">
        <v>444</v>
      </c>
      <c r="J32">
        <v>55</v>
      </c>
      <c r="K32">
        <v>122</v>
      </c>
      <c r="L32">
        <f>표1[[#This Row],[H]]-표1[[#This Row],[2B]]-표1[[#This Row],[3B]]-표1[[#This Row],[HR]]</f>
        <v>106</v>
      </c>
      <c r="M32">
        <v>12</v>
      </c>
      <c r="N32">
        <v>3</v>
      </c>
      <c r="O32">
        <v>1</v>
      </c>
      <c r="P32">
        <v>143</v>
      </c>
      <c r="Q32">
        <v>30</v>
      </c>
      <c r="R32">
        <v>7</v>
      </c>
      <c r="S32">
        <v>3</v>
      </c>
      <c r="T32">
        <v>31</v>
      </c>
      <c r="U32">
        <v>0</v>
      </c>
      <c r="V32">
        <v>2</v>
      </c>
      <c r="W32">
        <v>2</v>
      </c>
      <c r="X32">
        <v>3</v>
      </c>
      <c r="Y32">
        <v>65</v>
      </c>
      <c r="Z32">
        <v>10</v>
      </c>
      <c r="AA32">
        <v>0.32200000000000001</v>
      </c>
      <c r="AB32">
        <v>0.32400000000000001</v>
      </c>
      <c r="AC32">
        <v>0.64600000000000002</v>
      </c>
      <c r="AD32">
        <v>30</v>
      </c>
      <c r="AE32">
        <v>0.19</v>
      </c>
      <c r="AF32">
        <v>0.375</v>
      </c>
      <c r="AG32">
        <f>(표1[[#This Row],[TB]]-표1[[#This Row],[H]])/표1[[#This Row],[AB]]</f>
        <v>4.72972972972973E-2</v>
      </c>
      <c r="AH32">
        <f>(표1[[#This Row],[TB]]-표1[[#This Row],[H]]+표1[[#This Row],[BB]]+표1[[#This Row],[SB]]-표1[[#This Row],[CS]])/표1[[#This Row],[AB]]</f>
        <v>0.11711711711711711</v>
      </c>
      <c r="AI32">
        <f>(표1[[#This Row],[TB]]+표1[[#This Row],[BB]]+표1[[#This Row],[HBP]]+표1[[#This Row],[SB]]-표1[[#This Row],[CS]])/(표1[[#This Row],[AB]]-표1[[#This Row],[H]]+표1[[#This Row],[CS]]+표1[[#This Row],[GDP]])</f>
        <v>0.52994011976047906</v>
      </c>
      <c r="AJ3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46.646557377049184</v>
      </c>
      <c r="AK32">
        <f>표1[[#This Row],[RC]]/((표1[[#This Row],[AB]]-표1[[#This Row],[H]]+표1[[#This Row],[SAC]]+표1[[#This Row],[SF]]+표1[[#This Row],[CS]]+표1[[#This Row],[GDP]])/27)</f>
        <v>3.6612123522683953</v>
      </c>
      <c r="AL3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0.28942203742203743</v>
      </c>
      <c r="AM3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45.670000000000009</v>
      </c>
    </row>
    <row r="33" spans="1:39" x14ac:dyDescent="0.3">
      <c r="A33" t="str">
        <f>_xlfn.CONCAT(표1[[#This Row],[Year]],표1[[#This Row],[Player]])</f>
        <v>2002박한이</v>
      </c>
      <c r="B33">
        <v>2002</v>
      </c>
      <c r="C33">
        <v>32</v>
      </c>
      <c r="D33" t="s">
        <v>240</v>
      </c>
      <c r="E33" t="s">
        <v>191</v>
      </c>
      <c r="F33">
        <v>0.27200000000000002</v>
      </c>
      <c r="G33">
        <v>133</v>
      </c>
      <c r="H33">
        <v>586</v>
      </c>
      <c r="I33">
        <v>504</v>
      </c>
      <c r="J33">
        <v>89</v>
      </c>
      <c r="K33">
        <v>137</v>
      </c>
      <c r="L33">
        <f>표1[[#This Row],[H]]-표1[[#This Row],[2B]]-표1[[#This Row],[3B]]-표1[[#This Row],[HR]]</f>
        <v>101</v>
      </c>
      <c r="M33">
        <v>24</v>
      </c>
      <c r="N33">
        <v>2</v>
      </c>
      <c r="O33">
        <v>10</v>
      </c>
      <c r="P33">
        <v>195</v>
      </c>
      <c r="Q33">
        <v>47</v>
      </c>
      <c r="R33">
        <v>14</v>
      </c>
      <c r="S33">
        <v>2</v>
      </c>
      <c r="T33">
        <v>60</v>
      </c>
      <c r="U33">
        <v>3</v>
      </c>
      <c r="V33">
        <v>13</v>
      </c>
      <c r="W33">
        <v>12</v>
      </c>
      <c r="X33">
        <v>6</v>
      </c>
      <c r="Y33">
        <v>79</v>
      </c>
      <c r="Z33">
        <v>15</v>
      </c>
      <c r="AA33">
        <v>0.38700000000000001</v>
      </c>
      <c r="AB33">
        <v>0.35499999999999998</v>
      </c>
      <c r="AC33">
        <v>0.74199999999999999</v>
      </c>
      <c r="AD33">
        <v>39</v>
      </c>
      <c r="AE33">
        <v>0.24199999999999999</v>
      </c>
      <c r="AF33">
        <v>0</v>
      </c>
      <c r="AG33">
        <f>(표1[[#This Row],[TB]]-표1[[#This Row],[H]])/표1[[#This Row],[AB]]</f>
        <v>0.11507936507936507</v>
      </c>
      <c r="AH33">
        <f>(표1[[#This Row],[TB]]-표1[[#This Row],[H]]+표1[[#This Row],[BB]]+표1[[#This Row],[SB]]-표1[[#This Row],[CS]])/표1[[#This Row],[AB]]</f>
        <v>0.2361111111111111</v>
      </c>
      <c r="AI33">
        <f>(표1[[#This Row],[TB]]+표1[[#This Row],[BB]]+표1[[#This Row],[HBP]]+표1[[#This Row],[SB]]-표1[[#This Row],[CS]])/(표1[[#This Row],[AB]]-표1[[#This Row],[H]]+표1[[#This Row],[CS]]+표1[[#This Row],[GDP]])</f>
        <v>0.6649746192893401</v>
      </c>
      <c r="AJ3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68.015290102389073</v>
      </c>
      <c r="AK33">
        <f>표1[[#This Row],[RC]]/((표1[[#This Row],[AB]]-표1[[#This Row],[H]]+표1[[#This Row],[SAC]]+표1[[#This Row],[SF]]+표1[[#This Row],[CS]]+표1[[#This Row],[GDP]])/27)</f>
        <v>4.4790556896695239</v>
      </c>
      <c r="AL3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0.32853602811950794</v>
      </c>
      <c r="AM3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67.017999999999986</v>
      </c>
    </row>
    <row r="34" spans="1:39" x14ac:dyDescent="0.3">
      <c r="A34" t="str">
        <f>_xlfn.CONCAT(표1[[#This Row],[Year]],표1[[#This Row],[Player]])</f>
        <v>2002박종호</v>
      </c>
      <c r="B34">
        <v>2002</v>
      </c>
      <c r="C34">
        <v>33</v>
      </c>
      <c r="D34" t="s">
        <v>241</v>
      </c>
      <c r="E34" t="s">
        <v>192</v>
      </c>
      <c r="F34">
        <v>0.26600000000000001</v>
      </c>
      <c r="G34">
        <v>108</v>
      </c>
      <c r="H34">
        <v>468</v>
      </c>
      <c r="I34">
        <v>402</v>
      </c>
      <c r="J34">
        <v>58</v>
      </c>
      <c r="K34">
        <v>107</v>
      </c>
      <c r="L34">
        <f>표1[[#This Row],[H]]-표1[[#This Row],[2B]]-표1[[#This Row],[3B]]-표1[[#This Row],[HR]]</f>
        <v>83</v>
      </c>
      <c r="M34">
        <v>15</v>
      </c>
      <c r="N34">
        <v>2</v>
      </c>
      <c r="O34">
        <v>7</v>
      </c>
      <c r="P34">
        <v>147</v>
      </c>
      <c r="Q34">
        <v>53</v>
      </c>
      <c r="R34">
        <v>29</v>
      </c>
      <c r="S34">
        <v>1</v>
      </c>
      <c r="T34">
        <v>25</v>
      </c>
      <c r="U34">
        <v>0</v>
      </c>
      <c r="V34">
        <v>4</v>
      </c>
      <c r="W34">
        <v>4</v>
      </c>
      <c r="X34">
        <v>11</v>
      </c>
      <c r="Y34">
        <v>42</v>
      </c>
      <c r="Z34">
        <v>4</v>
      </c>
      <c r="AA34">
        <v>0.36599999999999999</v>
      </c>
      <c r="AB34">
        <v>0.32600000000000001</v>
      </c>
      <c r="AC34">
        <v>0.69199999999999995</v>
      </c>
      <c r="AD34">
        <v>28</v>
      </c>
      <c r="AE34">
        <v>0.34699999999999998</v>
      </c>
      <c r="AF34">
        <v>1</v>
      </c>
      <c r="AG34">
        <f>(표1[[#This Row],[TB]]-표1[[#This Row],[H]])/표1[[#This Row],[AB]]</f>
        <v>9.950248756218906E-2</v>
      </c>
      <c r="AH34">
        <f>(표1[[#This Row],[TB]]-표1[[#This Row],[H]]+표1[[#This Row],[BB]]+표1[[#This Row],[SB]]-표1[[#This Row],[CS]])/표1[[#This Row],[AB]]</f>
        <v>0.16169154228855723</v>
      </c>
      <c r="AI34">
        <f>(표1[[#This Row],[TB]]+표1[[#This Row],[BB]]+표1[[#This Row],[HBP]]+표1[[#This Row],[SB]]-표1[[#This Row],[CS]])/(표1[[#This Row],[AB]]-표1[[#This Row],[H]]+표1[[#This Row],[CS]]+표1[[#This Row],[GDP]])</f>
        <v>0.60396039603960394</v>
      </c>
      <c r="AJ3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50.203846153846158</v>
      </c>
      <c r="AK34">
        <f>표1[[#This Row],[RC]]/((표1[[#This Row],[AB]]-표1[[#This Row],[H]]+표1[[#This Row],[SAC]]+표1[[#This Row],[SF]]+표1[[#This Row],[CS]]+표1[[#This Row],[GDP]])/27)</f>
        <v>4.0705821205821211</v>
      </c>
      <c r="AL3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0.30759908883826881</v>
      </c>
      <c r="AM3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49.303999999999988</v>
      </c>
    </row>
    <row r="35" spans="1:39" x14ac:dyDescent="0.3">
      <c r="A35" t="str">
        <f>_xlfn.CONCAT(표1[[#This Row],[Year]],표1[[#This Row],[Player]])</f>
        <v>2002김민재</v>
      </c>
      <c r="B35">
        <v>2002</v>
      </c>
      <c r="C35">
        <v>34</v>
      </c>
      <c r="D35" t="s">
        <v>242</v>
      </c>
      <c r="E35" t="s">
        <v>195</v>
      </c>
      <c r="F35">
        <v>0.25800000000000001</v>
      </c>
      <c r="G35">
        <v>131</v>
      </c>
      <c r="H35">
        <v>548</v>
      </c>
      <c r="I35">
        <v>488</v>
      </c>
      <c r="J35">
        <v>51</v>
      </c>
      <c r="K35">
        <v>126</v>
      </c>
      <c r="L35">
        <f>표1[[#This Row],[H]]-표1[[#This Row],[2B]]-표1[[#This Row],[3B]]-표1[[#This Row],[HR]]</f>
        <v>90</v>
      </c>
      <c r="M35">
        <v>21</v>
      </c>
      <c r="N35">
        <v>3</v>
      </c>
      <c r="O35">
        <v>12</v>
      </c>
      <c r="P35">
        <v>189</v>
      </c>
      <c r="Q35">
        <v>50</v>
      </c>
      <c r="R35">
        <v>19</v>
      </c>
      <c r="S35">
        <v>4</v>
      </c>
      <c r="T35">
        <v>26</v>
      </c>
      <c r="U35">
        <v>0</v>
      </c>
      <c r="V35">
        <v>15</v>
      </c>
      <c r="W35">
        <v>10</v>
      </c>
      <c r="X35">
        <v>11</v>
      </c>
      <c r="Y35">
        <v>45</v>
      </c>
      <c r="Z35">
        <v>13</v>
      </c>
      <c r="AA35">
        <v>0.38700000000000001</v>
      </c>
      <c r="AB35">
        <v>0.308</v>
      </c>
      <c r="AC35">
        <v>0.69499999999999995</v>
      </c>
      <c r="AD35">
        <v>35</v>
      </c>
      <c r="AE35">
        <v>0.20200000000000001</v>
      </c>
      <c r="AF35">
        <v>0</v>
      </c>
      <c r="AG35">
        <f>(표1[[#This Row],[TB]]-표1[[#This Row],[H]])/표1[[#This Row],[AB]]</f>
        <v>0.12909836065573771</v>
      </c>
      <c r="AH35">
        <f>(표1[[#This Row],[TB]]-표1[[#This Row],[H]]+표1[[#This Row],[BB]]+표1[[#This Row],[SB]]-표1[[#This Row],[CS]])/표1[[#This Row],[AB]]</f>
        <v>0.19262295081967212</v>
      </c>
      <c r="AI35">
        <f>(표1[[#This Row],[TB]]+표1[[#This Row],[BB]]+표1[[#This Row],[HBP]]+표1[[#This Row],[SB]]-표1[[#This Row],[CS]])/(표1[[#This Row],[AB]]-표1[[#This Row],[H]]+표1[[#This Row],[CS]]+표1[[#This Row],[GDP]])</f>
        <v>0.6</v>
      </c>
      <c r="AJ3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55.790510948905109</v>
      </c>
      <c r="AK35">
        <f>표1[[#This Row],[RC]]/((표1[[#This Row],[AB]]-표1[[#This Row],[H]]+표1[[#This Row],[SAC]]+표1[[#This Row],[SF]]+표1[[#This Row],[CS]]+표1[[#This Row],[GDP]])/27)</f>
        <v>3.6920191069128383</v>
      </c>
      <c r="AL3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0.30499054820415877</v>
      </c>
      <c r="AM3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57.089999999999989</v>
      </c>
    </row>
    <row r="36" spans="1:39" x14ac:dyDescent="0.3">
      <c r="A36" t="str">
        <f>_xlfn.CONCAT(표1[[#This Row],[Year]],표1[[#This Row],[Player]])</f>
        <v>2002홍세완</v>
      </c>
      <c r="B36">
        <v>2002</v>
      </c>
      <c r="C36">
        <v>35</v>
      </c>
      <c r="D36" t="s">
        <v>243</v>
      </c>
      <c r="E36" t="s">
        <v>190</v>
      </c>
      <c r="F36">
        <v>0.25700000000000001</v>
      </c>
      <c r="G36">
        <v>111</v>
      </c>
      <c r="H36">
        <v>449</v>
      </c>
      <c r="I36">
        <v>401</v>
      </c>
      <c r="J36">
        <v>43</v>
      </c>
      <c r="K36">
        <v>103</v>
      </c>
      <c r="L36">
        <f>표1[[#This Row],[H]]-표1[[#This Row],[2B]]-표1[[#This Row],[3B]]-표1[[#This Row],[HR]]</f>
        <v>70</v>
      </c>
      <c r="M36">
        <v>21</v>
      </c>
      <c r="N36">
        <v>0</v>
      </c>
      <c r="O36">
        <v>12</v>
      </c>
      <c r="P36">
        <v>160</v>
      </c>
      <c r="Q36">
        <v>69</v>
      </c>
      <c r="R36">
        <v>8</v>
      </c>
      <c r="S36">
        <v>4</v>
      </c>
      <c r="T36">
        <v>30</v>
      </c>
      <c r="U36">
        <v>2</v>
      </c>
      <c r="V36">
        <v>7</v>
      </c>
      <c r="W36">
        <v>5</v>
      </c>
      <c r="X36">
        <v>6</v>
      </c>
      <c r="Y36">
        <v>68</v>
      </c>
      <c r="Z36">
        <v>10</v>
      </c>
      <c r="AA36">
        <v>0.39900000000000002</v>
      </c>
      <c r="AB36">
        <v>0.315</v>
      </c>
      <c r="AC36">
        <v>0.71399999999999997</v>
      </c>
      <c r="AD36">
        <v>25</v>
      </c>
      <c r="AE36">
        <v>0.26500000000000001</v>
      </c>
      <c r="AF36">
        <v>0</v>
      </c>
      <c r="AG36">
        <f>(표1[[#This Row],[TB]]-표1[[#This Row],[H]])/표1[[#This Row],[AB]]</f>
        <v>0.14214463840399003</v>
      </c>
      <c r="AH36">
        <f>(표1[[#This Row],[TB]]-표1[[#This Row],[H]]+표1[[#This Row],[BB]]+표1[[#This Row],[SB]]-표1[[#This Row],[CS]])/표1[[#This Row],[AB]]</f>
        <v>0.22194513715710723</v>
      </c>
      <c r="AI36">
        <f>(표1[[#This Row],[TB]]+표1[[#This Row],[BB]]+표1[[#This Row],[HBP]]+표1[[#This Row],[SB]]-표1[[#This Row],[CS]])/(표1[[#This Row],[AB]]-표1[[#This Row],[H]]+표1[[#This Row],[CS]]+표1[[#This Row],[GDP]])</f>
        <v>0.63258785942492013</v>
      </c>
      <c r="AJ3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49.356971046770596</v>
      </c>
      <c r="AK36">
        <f>표1[[#This Row],[RC]]/((표1[[#This Row],[AB]]-표1[[#This Row],[H]]+표1[[#This Row],[SAC]]+표1[[#This Row],[SF]]+표1[[#This Row],[CS]]+표1[[#This Row],[GDP]])/27)</f>
        <v>4.1004252869624809</v>
      </c>
      <c r="AL3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0.31128246013667427</v>
      </c>
      <c r="AM3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49.856000000000002</v>
      </c>
    </row>
    <row r="37" spans="1:39" x14ac:dyDescent="0.3">
      <c r="A37" t="str">
        <f>_xlfn.CONCAT(표1[[#This Row],[Year]],표1[[#This Row],[Player]])</f>
        <v>2002우즈</v>
      </c>
      <c r="B37">
        <v>2002</v>
      </c>
      <c r="C37">
        <v>36</v>
      </c>
      <c r="D37" t="s">
        <v>244</v>
      </c>
      <c r="E37" t="s">
        <v>193</v>
      </c>
      <c r="F37">
        <v>0.25600000000000001</v>
      </c>
      <c r="G37">
        <v>119</v>
      </c>
      <c r="H37">
        <v>469</v>
      </c>
      <c r="I37">
        <v>407</v>
      </c>
      <c r="J37">
        <v>53</v>
      </c>
      <c r="K37">
        <v>104</v>
      </c>
      <c r="L37">
        <f>표1[[#This Row],[H]]-표1[[#This Row],[2B]]-표1[[#This Row],[3B]]-표1[[#This Row],[HR]]</f>
        <v>58</v>
      </c>
      <c r="M37">
        <v>18</v>
      </c>
      <c r="N37">
        <v>3</v>
      </c>
      <c r="O37">
        <v>25</v>
      </c>
      <c r="P37">
        <v>203</v>
      </c>
      <c r="Q37">
        <v>82</v>
      </c>
      <c r="R37">
        <v>0</v>
      </c>
      <c r="S37">
        <v>7</v>
      </c>
      <c r="T37">
        <v>50</v>
      </c>
      <c r="U37">
        <v>3</v>
      </c>
      <c r="V37">
        <v>5</v>
      </c>
      <c r="W37">
        <v>2</v>
      </c>
      <c r="X37">
        <v>5</v>
      </c>
      <c r="Y37">
        <v>123</v>
      </c>
      <c r="Z37">
        <v>11</v>
      </c>
      <c r="AA37">
        <v>0.499</v>
      </c>
      <c r="AB37">
        <v>0.33900000000000002</v>
      </c>
      <c r="AC37">
        <v>0.83799999999999997</v>
      </c>
      <c r="AD37">
        <v>24</v>
      </c>
      <c r="AE37">
        <v>0.32</v>
      </c>
      <c r="AF37">
        <v>0</v>
      </c>
      <c r="AG37">
        <f>(표1[[#This Row],[TB]]-표1[[#This Row],[H]])/표1[[#This Row],[AB]]</f>
        <v>0.24324324324324326</v>
      </c>
      <c r="AH37">
        <f>(표1[[#This Row],[TB]]-표1[[#This Row],[H]]+표1[[#This Row],[BB]]+표1[[#This Row],[SB]]-표1[[#This Row],[CS]])/표1[[#This Row],[AB]]</f>
        <v>0.37346437346437344</v>
      </c>
      <c r="AI37">
        <f>(표1[[#This Row],[TB]]+표1[[#This Row],[BB]]+표1[[#This Row],[HBP]]+표1[[#This Row],[SB]]-표1[[#This Row],[CS]])/(표1[[#This Row],[AB]]-표1[[#This Row],[H]]+표1[[#This Row],[CS]]+표1[[#This Row],[GDP]])</f>
        <v>0.82594936708860756</v>
      </c>
      <c r="AJ3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69.345330490405118</v>
      </c>
      <c r="AK37">
        <f>표1[[#This Row],[RC]]/((표1[[#This Row],[AB]]-표1[[#This Row],[H]]+표1[[#This Row],[SAC]]+표1[[#This Row],[SF]]+표1[[#This Row],[CS]]+표1[[#This Row],[GDP]])/27)</f>
        <v>5.796668493006</v>
      </c>
      <c r="AL3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0.35668240343347635</v>
      </c>
      <c r="AM3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70.036000000000001</v>
      </c>
    </row>
    <row r="38" spans="1:39" x14ac:dyDescent="0.3">
      <c r="A38" t="str">
        <f>_xlfn.CONCAT(표1[[#This Row],[Year]],표1[[#This Row],[Player]])</f>
        <v>2002심재학</v>
      </c>
      <c r="B38">
        <v>2002</v>
      </c>
      <c r="C38">
        <v>37</v>
      </c>
      <c r="D38" t="s">
        <v>245</v>
      </c>
      <c r="E38" t="s">
        <v>193</v>
      </c>
      <c r="F38">
        <v>0.245</v>
      </c>
      <c r="G38">
        <v>119</v>
      </c>
      <c r="H38">
        <v>463</v>
      </c>
      <c r="I38">
        <v>383</v>
      </c>
      <c r="J38">
        <v>56</v>
      </c>
      <c r="K38">
        <v>94</v>
      </c>
      <c r="L38">
        <f>표1[[#This Row],[H]]-표1[[#This Row],[2B]]-표1[[#This Row],[3B]]-표1[[#This Row],[HR]]</f>
        <v>60</v>
      </c>
      <c r="M38">
        <v>16</v>
      </c>
      <c r="N38">
        <v>3</v>
      </c>
      <c r="O38">
        <v>15</v>
      </c>
      <c r="P38">
        <v>161</v>
      </c>
      <c r="Q38">
        <v>57</v>
      </c>
      <c r="R38">
        <v>0</v>
      </c>
      <c r="S38">
        <v>7</v>
      </c>
      <c r="T38">
        <v>67</v>
      </c>
      <c r="U38">
        <v>4</v>
      </c>
      <c r="V38">
        <v>2</v>
      </c>
      <c r="W38">
        <v>1</v>
      </c>
      <c r="X38">
        <v>6</v>
      </c>
      <c r="Y38">
        <v>55</v>
      </c>
      <c r="Z38">
        <v>11</v>
      </c>
      <c r="AA38">
        <v>0.42</v>
      </c>
      <c r="AB38">
        <v>0.36099999999999999</v>
      </c>
      <c r="AC38">
        <v>0.78100000000000003</v>
      </c>
      <c r="AD38">
        <v>17</v>
      </c>
      <c r="AE38">
        <v>0.26700000000000002</v>
      </c>
      <c r="AF38">
        <v>0.33300000000000002</v>
      </c>
      <c r="AG38">
        <f>(표1[[#This Row],[TB]]-표1[[#This Row],[H]])/표1[[#This Row],[AB]]</f>
        <v>0.17493472584856398</v>
      </c>
      <c r="AH38">
        <f>(표1[[#This Row],[TB]]-표1[[#This Row],[H]]+표1[[#This Row],[BB]]+표1[[#This Row],[SB]]-표1[[#This Row],[CS]])/표1[[#This Row],[AB]]</f>
        <v>0.35248041775456918</v>
      </c>
      <c r="AI38">
        <f>(표1[[#This Row],[TB]]+표1[[#This Row],[BB]]+표1[[#This Row],[HBP]]+표1[[#This Row],[SB]]-표1[[#This Row],[CS]])/(표1[[#This Row],[AB]]-표1[[#This Row],[H]]+표1[[#This Row],[CS]]+표1[[#This Row],[GDP]])</f>
        <v>0.78073089700996678</v>
      </c>
      <c r="AJ3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61.47105831533478</v>
      </c>
      <c r="AK38">
        <f>표1[[#This Row],[RC]]/((표1[[#This Row],[AB]]-표1[[#This Row],[H]]+표1[[#This Row],[SAC]]+표1[[#This Row],[SF]]+표1[[#This Row],[CS]]+표1[[#This Row],[GDP]])/27)</f>
        <v>5.3886966705001269</v>
      </c>
      <c r="AL3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0.3413202614379085</v>
      </c>
      <c r="AM3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62.809999999999988</v>
      </c>
    </row>
    <row r="39" spans="1:39" x14ac:dyDescent="0.3">
      <c r="A39" t="str">
        <f>_xlfn.CONCAT(표1[[#This Row],[Year]],표1[[#This Row],[Player]])</f>
        <v>2002정수근</v>
      </c>
      <c r="B39">
        <v>2002</v>
      </c>
      <c r="C39">
        <v>38</v>
      </c>
      <c r="D39" t="s">
        <v>246</v>
      </c>
      <c r="E39" t="s">
        <v>193</v>
      </c>
      <c r="F39">
        <v>0.23499999999999999</v>
      </c>
      <c r="G39">
        <v>122</v>
      </c>
      <c r="H39">
        <v>482</v>
      </c>
      <c r="I39">
        <v>426</v>
      </c>
      <c r="J39">
        <v>58</v>
      </c>
      <c r="K39">
        <v>100</v>
      </c>
      <c r="L39">
        <f>표1[[#This Row],[H]]-표1[[#This Row],[2B]]-표1[[#This Row],[3B]]-표1[[#This Row],[HR]]</f>
        <v>86</v>
      </c>
      <c r="M39">
        <v>9</v>
      </c>
      <c r="N39">
        <v>2</v>
      </c>
      <c r="O39">
        <v>3</v>
      </c>
      <c r="P39">
        <v>122</v>
      </c>
      <c r="Q39">
        <v>22</v>
      </c>
      <c r="R39">
        <v>8</v>
      </c>
      <c r="S39">
        <v>1</v>
      </c>
      <c r="T39">
        <v>44</v>
      </c>
      <c r="U39">
        <v>2</v>
      </c>
      <c r="V39">
        <v>40</v>
      </c>
      <c r="W39">
        <v>14</v>
      </c>
      <c r="X39">
        <v>3</v>
      </c>
      <c r="Y39">
        <v>51</v>
      </c>
      <c r="Z39">
        <v>8</v>
      </c>
      <c r="AA39">
        <v>0.28599999999999998</v>
      </c>
      <c r="AB39">
        <v>0.31</v>
      </c>
      <c r="AC39">
        <v>0.59599999999999997</v>
      </c>
      <c r="AD39">
        <v>25</v>
      </c>
      <c r="AE39">
        <v>0.20399999999999999</v>
      </c>
      <c r="AF39">
        <v>0</v>
      </c>
      <c r="AG39">
        <f>(표1[[#This Row],[TB]]-표1[[#This Row],[H]])/표1[[#This Row],[AB]]</f>
        <v>5.1643192488262914E-2</v>
      </c>
      <c r="AH39">
        <f>(표1[[#This Row],[TB]]-표1[[#This Row],[H]]+표1[[#This Row],[BB]]+표1[[#This Row],[SB]]-표1[[#This Row],[CS]])/표1[[#This Row],[AB]]</f>
        <v>0.215962441314554</v>
      </c>
      <c r="AI39">
        <f>(표1[[#This Row],[TB]]+표1[[#This Row],[BB]]+표1[[#This Row],[HBP]]+표1[[#This Row],[SB]]-표1[[#This Row],[CS]])/(표1[[#This Row],[AB]]-표1[[#This Row],[H]]+표1[[#This Row],[CS]]+표1[[#This Row],[GDP]])</f>
        <v>0.56034482758620685</v>
      </c>
      <c r="AJ3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41.281120331950198</v>
      </c>
      <c r="AK39">
        <f>표1[[#This Row],[RC]]/((표1[[#This Row],[AB]]-표1[[#This Row],[H]]+표1[[#This Row],[SAC]]+표1[[#This Row],[SF]]+표1[[#This Row],[CS]]+표1[[#This Row],[GDP]])/27)</f>
        <v>3.1221015377105195</v>
      </c>
      <c r="AL3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0.27094279661016951</v>
      </c>
      <c r="AM3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42.381999999999991</v>
      </c>
    </row>
    <row r="40" spans="1:39" x14ac:dyDescent="0.3">
      <c r="A40" t="str">
        <f>_xlfn.CONCAT(표1[[#This Row],[Year]],표1[[#This Row],[Player]])</f>
        <v>2002임수민</v>
      </c>
      <c r="B40">
        <v>2002</v>
      </c>
      <c r="C40">
        <v>39</v>
      </c>
      <c r="D40" t="s">
        <v>247</v>
      </c>
      <c r="E40" t="s">
        <v>194</v>
      </c>
      <c r="F40">
        <v>0.22700000000000001</v>
      </c>
      <c r="G40">
        <v>127</v>
      </c>
      <c r="H40">
        <v>427</v>
      </c>
      <c r="I40">
        <v>366</v>
      </c>
      <c r="J40">
        <v>55</v>
      </c>
      <c r="K40">
        <v>83</v>
      </c>
      <c r="L40">
        <f>표1[[#This Row],[H]]-표1[[#This Row],[2B]]-표1[[#This Row],[3B]]-표1[[#This Row],[HR]]</f>
        <v>56</v>
      </c>
      <c r="M40">
        <v>16</v>
      </c>
      <c r="N40">
        <v>1</v>
      </c>
      <c r="O40">
        <v>10</v>
      </c>
      <c r="P40">
        <v>131</v>
      </c>
      <c r="Q40">
        <v>35</v>
      </c>
      <c r="R40">
        <v>11</v>
      </c>
      <c r="S40">
        <v>2</v>
      </c>
      <c r="T40">
        <v>40</v>
      </c>
      <c r="U40">
        <v>0</v>
      </c>
      <c r="V40">
        <v>3</v>
      </c>
      <c r="W40">
        <v>6</v>
      </c>
      <c r="X40">
        <v>7</v>
      </c>
      <c r="Y40">
        <v>78</v>
      </c>
      <c r="Z40">
        <v>10</v>
      </c>
      <c r="AA40">
        <v>0.35799999999999998</v>
      </c>
      <c r="AB40">
        <v>0.313</v>
      </c>
      <c r="AC40">
        <v>0.67100000000000004</v>
      </c>
      <c r="AD40">
        <v>19</v>
      </c>
      <c r="AE40">
        <v>0.221</v>
      </c>
      <c r="AF40">
        <v>0.25</v>
      </c>
      <c r="AG40">
        <f>(표1[[#This Row],[TB]]-표1[[#This Row],[H]])/표1[[#This Row],[AB]]</f>
        <v>0.13114754098360656</v>
      </c>
      <c r="AH40">
        <f>(표1[[#This Row],[TB]]-표1[[#This Row],[H]]+표1[[#This Row],[BB]]+표1[[#This Row],[SB]]-표1[[#This Row],[CS]])/표1[[#This Row],[AB]]</f>
        <v>0.23224043715846995</v>
      </c>
      <c r="AI40">
        <f>(표1[[#This Row],[TB]]+표1[[#This Row],[BB]]+표1[[#This Row],[HBP]]+표1[[#This Row],[SB]]-표1[[#This Row],[CS]])/(표1[[#This Row],[AB]]-표1[[#This Row],[H]]+표1[[#This Row],[CS]]+표1[[#This Row],[GDP]])</f>
        <v>0.5852842809364549</v>
      </c>
      <c r="AJ4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40.552957746478867</v>
      </c>
      <c r="AK40">
        <f>표1[[#This Row],[RC]]/((표1[[#This Row],[AB]]-표1[[#This Row],[H]]+표1[[#This Row],[SAC]]+표1[[#This Row],[SF]]+표1[[#This Row],[CS]]+표1[[#This Row],[GDP]])/27)</f>
        <v>3.5093905742145175</v>
      </c>
      <c r="AL4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0.29995903614457831</v>
      </c>
      <c r="AM4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40.945999999999991</v>
      </c>
    </row>
    <row r="41" spans="1:39" x14ac:dyDescent="0.3">
      <c r="A41" t="str">
        <f>_xlfn.CONCAT(표1[[#This Row],[Year]],표1[[#This Row],[Player]])</f>
        <v>2002박진만</v>
      </c>
      <c r="B41">
        <v>2002</v>
      </c>
      <c r="C41">
        <v>40</v>
      </c>
      <c r="D41" t="s">
        <v>248</v>
      </c>
      <c r="E41" t="s">
        <v>192</v>
      </c>
      <c r="F41">
        <v>0.219</v>
      </c>
      <c r="G41">
        <v>126</v>
      </c>
      <c r="H41">
        <v>466</v>
      </c>
      <c r="I41">
        <v>401</v>
      </c>
      <c r="J41">
        <v>47</v>
      </c>
      <c r="K41">
        <v>88</v>
      </c>
      <c r="L41">
        <f>표1[[#This Row],[H]]-표1[[#This Row],[2B]]-표1[[#This Row],[3B]]-표1[[#This Row],[HR]]</f>
        <v>52</v>
      </c>
      <c r="M41">
        <v>24</v>
      </c>
      <c r="N41">
        <v>0</v>
      </c>
      <c r="O41">
        <v>12</v>
      </c>
      <c r="P41">
        <v>148</v>
      </c>
      <c r="Q41">
        <v>57</v>
      </c>
      <c r="R41">
        <v>9</v>
      </c>
      <c r="S41">
        <v>4</v>
      </c>
      <c r="T41">
        <v>47</v>
      </c>
      <c r="U41">
        <v>2</v>
      </c>
      <c r="V41">
        <v>2</v>
      </c>
      <c r="W41">
        <v>5</v>
      </c>
      <c r="X41">
        <v>5</v>
      </c>
      <c r="Y41">
        <v>85</v>
      </c>
      <c r="Z41">
        <v>6</v>
      </c>
      <c r="AA41">
        <v>0.36899999999999999</v>
      </c>
      <c r="AB41">
        <v>0.30599999999999999</v>
      </c>
      <c r="AC41">
        <v>0.67500000000000004</v>
      </c>
      <c r="AD41">
        <v>18</v>
      </c>
      <c r="AE41">
        <v>0.20599999999999999</v>
      </c>
      <c r="AF41">
        <v>0</v>
      </c>
      <c r="AG41">
        <f>(표1[[#This Row],[TB]]-표1[[#This Row],[H]])/표1[[#This Row],[AB]]</f>
        <v>0.14962593516209477</v>
      </c>
      <c r="AH41">
        <f>(표1[[#This Row],[TB]]-표1[[#This Row],[H]]+표1[[#This Row],[BB]]+표1[[#This Row],[SB]]-표1[[#This Row],[CS]])/표1[[#This Row],[AB]]</f>
        <v>0.25935162094763092</v>
      </c>
      <c r="AI41">
        <f>(표1[[#This Row],[TB]]+표1[[#This Row],[BB]]+표1[[#This Row],[HBP]]+표1[[#This Row],[SB]]-표1[[#This Row],[CS]])/(표1[[#This Row],[AB]]-표1[[#This Row],[H]]+표1[[#This Row],[CS]]+표1[[#This Row],[GDP]])</f>
        <v>0.60802469135802473</v>
      </c>
      <c r="AJ4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46.727896995708157</v>
      </c>
      <c r="AK41">
        <f>표1[[#This Row],[RC]]/((표1[[#This Row],[AB]]-표1[[#This Row],[H]]+표1[[#This Row],[SAC]]+표1[[#This Row],[SF]]+표1[[#This Row],[CS]]+표1[[#This Row],[GDP]])/27)</f>
        <v>3.7437780975789918</v>
      </c>
      <c r="AL4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0.29788351648351652</v>
      </c>
      <c r="AM4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47.590000000000011</v>
      </c>
    </row>
    <row r="42" spans="1:39" x14ac:dyDescent="0.3">
      <c r="A42" t="str">
        <f>_xlfn.CONCAT(표1[[#This Row],[Year]],표1[[#This Row],[Player]])</f>
        <v>2003김동주</v>
      </c>
      <c r="B42">
        <v>2003</v>
      </c>
      <c r="C42">
        <v>1</v>
      </c>
      <c r="D42" t="s">
        <v>214</v>
      </c>
      <c r="E42" t="s">
        <v>1</v>
      </c>
      <c r="F42">
        <v>0.34200000000000003</v>
      </c>
      <c r="G42">
        <v>118</v>
      </c>
      <c r="H42">
        <v>504</v>
      </c>
      <c r="I42">
        <v>401</v>
      </c>
      <c r="J42">
        <v>61</v>
      </c>
      <c r="K42">
        <v>137</v>
      </c>
      <c r="L42">
        <f>표1[[#This Row],[H]]-표1[[#This Row],[2B]]-표1[[#This Row],[3B]]-표1[[#This Row],[HR]]</f>
        <v>89</v>
      </c>
      <c r="M42">
        <v>23</v>
      </c>
      <c r="N42">
        <v>2</v>
      </c>
      <c r="O42">
        <v>23</v>
      </c>
      <c r="P42">
        <v>233</v>
      </c>
      <c r="Q42">
        <v>89</v>
      </c>
      <c r="R42">
        <v>0</v>
      </c>
      <c r="S42">
        <v>13</v>
      </c>
      <c r="T42">
        <v>79</v>
      </c>
      <c r="U42">
        <v>8</v>
      </c>
      <c r="V42">
        <v>3</v>
      </c>
      <c r="W42">
        <v>2</v>
      </c>
      <c r="X42">
        <v>11</v>
      </c>
      <c r="Y42">
        <v>53</v>
      </c>
      <c r="Z42">
        <v>15</v>
      </c>
      <c r="AA42">
        <v>0.58099999999999996</v>
      </c>
      <c r="AB42">
        <v>0.45</v>
      </c>
      <c r="AC42">
        <v>1.0309999999999999</v>
      </c>
      <c r="AD42">
        <v>39</v>
      </c>
      <c r="AE42">
        <v>0.38700000000000001</v>
      </c>
      <c r="AF42">
        <v>0.5</v>
      </c>
      <c r="AG42">
        <f>(표1[[#This Row],[TB]]-표1[[#This Row],[H]])/표1[[#This Row],[AB]]</f>
        <v>0.23940149625935161</v>
      </c>
      <c r="AH42">
        <f>(표1[[#This Row],[TB]]-표1[[#This Row],[H]]+표1[[#This Row],[BB]]+표1[[#This Row],[SB]]-표1[[#This Row],[CS]])/표1[[#This Row],[AB]]</f>
        <v>0.43890274314214461</v>
      </c>
      <c r="AI42">
        <f>(표1[[#This Row],[TB]]+표1[[#This Row],[BB]]+표1[[#This Row],[HBP]]+표1[[#This Row],[SB]]-표1[[#This Row],[CS]])/(표1[[#This Row],[AB]]-표1[[#This Row],[H]]+표1[[#This Row],[CS]]+표1[[#This Row],[GDP]])</f>
        <v>1.1530249110320285</v>
      </c>
      <c r="AJ4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109.43333333333332</v>
      </c>
      <c r="AK42">
        <f>표1[[#This Row],[RC]]/((표1[[#This Row],[AB]]-표1[[#This Row],[H]]+표1[[#This Row],[SAC]]+표1[[#This Row],[SF]]+표1[[#This Row],[CS]]+표1[[#This Row],[GDP]])/27)</f>
        <v>10.049999999999999</v>
      </c>
      <c r="AL4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0.43368951612903228</v>
      </c>
      <c r="AM4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101.11600000000001</v>
      </c>
    </row>
    <row r="43" spans="1:39" x14ac:dyDescent="0.3">
      <c r="A43" t="str">
        <f>_xlfn.CONCAT(표1[[#This Row],[Year]],표1[[#This Row],[Player]])</f>
        <v>2003심정수</v>
      </c>
      <c r="B43">
        <v>2003</v>
      </c>
      <c r="C43">
        <v>2</v>
      </c>
      <c r="D43" t="s">
        <v>2</v>
      </c>
      <c r="E43" t="s">
        <v>3</v>
      </c>
      <c r="F43">
        <v>0.33500000000000002</v>
      </c>
      <c r="G43">
        <v>133</v>
      </c>
      <c r="H43">
        <v>601</v>
      </c>
      <c r="I43">
        <v>460</v>
      </c>
      <c r="J43">
        <v>110</v>
      </c>
      <c r="K43">
        <v>154</v>
      </c>
      <c r="L43">
        <f>표1[[#This Row],[H]]-표1[[#This Row],[2B]]-표1[[#This Row],[3B]]-표1[[#This Row],[HR]]</f>
        <v>84</v>
      </c>
      <c r="M43">
        <v>16</v>
      </c>
      <c r="N43">
        <v>1</v>
      </c>
      <c r="O43">
        <v>53</v>
      </c>
      <c r="P43">
        <v>331</v>
      </c>
      <c r="Q43">
        <v>142</v>
      </c>
      <c r="R43">
        <v>0</v>
      </c>
      <c r="S43">
        <v>8</v>
      </c>
      <c r="T43">
        <v>124</v>
      </c>
      <c r="U43">
        <v>17</v>
      </c>
      <c r="V43">
        <v>6</v>
      </c>
      <c r="W43">
        <v>2</v>
      </c>
      <c r="X43">
        <v>9</v>
      </c>
      <c r="Y43">
        <v>63</v>
      </c>
      <c r="Z43">
        <v>14</v>
      </c>
      <c r="AA43">
        <v>0.72</v>
      </c>
      <c r="AB43">
        <v>0.47799999999999998</v>
      </c>
      <c r="AC43">
        <v>1.198</v>
      </c>
      <c r="AD43">
        <v>45</v>
      </c>
      <c r="AE43">
        <v>0.34599999999999997</v>
      </c>
      <c r="AF43">
        <v>0</v>
      </c>
      <c r="AG43">
        <f>(표1[[#This Row],[TB]]-표1[[#This Row],[H]])/표1[[#This Row],[AB]]</f>
        <v>0.38478260869565217</v>
      </c>
      <c r="AH43">
        <f>(표1[[#This Row],[TB]]-표1[[#This Row],[H]]+표1[[#This Row],[BB]]+표1[[#This Row],[SB]]-표1[[#This Row],[CS]])/표1[[#This Row],[AB]]</f>
        <v>0.66304347826086951</v>
      </c>
      <c r="AI43">
        <f>(표1[[#This Row],[TB]]+표1[[#This Row],[BB]]+표1[[#This Row],[HBP]]+표1[[#This Row],[SB]]-표1[[#This Row],[CS]])/(표1[[#This Row],[AB]]-표1[[#This Row],[H]]+표1[[#This Row],[CS]]+표1[[#This Row],[GDP]])</f>
        <v>1.4534161490683231</v>
      </c>
      <c r="AJ4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166.13517470881865</v>
      </c>
      <c r="AK43">
        <f>표1[[#This Row],[RC]]/((표1[[#This Row],[AB]]-표1[[#This Row],[H]]+표1[[#This Row],[SAC]]+표1[[#This Row],[SF]]+표1[[#This Row],[CS]]+표1[[#This Row],[GDP]])/27)</f>
        <v>13.592877930721526</v>
      </c>
      <c r="AL4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0.48881849315068487</v>
      </c>
      <c r="AM4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144.74600000000001</v>
      </c>
    </row>
    <row r="44" spans="1:39" x14ac:dyDescent="0.3">
      <c r="A44" t="str">
        <f>_xlfn.CONCAT(표1[[#This Row],[Year]],표1[[#This Row],[Player]])</f>
        <v>2003안경현</v>
      </c>
      <c r="B44">
        <v>2003</v>
      </c>
      <c r="C44">
        <v>3</v>
      </c>
      <c r="D44" t="s">
        <v>4</v>
      </c>
      <c r="E44" t="s">
        <v>1</v>
      </c>
      <c r="F44">
        <v>0.33300000000000002</v>
      </c>
      <c r="G44">
        <v>128</v>
      </c>
      <c r="H44">
        <v>539</v>
      </c>
      <c r="I44">
        <v>475</v>
      </c>
      <c r="J44">
        <v>65</v>
      </c>
      <c r="K44">
        <v>158</v>
      </c>
      <c r="L44">
        <f>표1[[#This Row],[H]]-표1[[#This Row],[2B]]-표1[[#This Row],[3B]]-표1[[#This Row],[HR]]</f>
        <v>117</v>
      </c>
      <c r="M44">
        <v>28</v>
      </c>
      <c r="N44">
        <v>3</v>
      </c>
      <c r="O44">
        <v>10</v>
      </c>
      <c r="P44">
        <v>222</v>
      </c>
      <c r="Q44">
        <v>72</v>
      </c>
      <c r="R44">
        <v>6</v>
      </c>
      <c r="S44">
        <v>5</v>
      </c>
      <c r="T44">
        <v>48</v>
      </c>
      <c r="U44">
        <v>2</v>
      </c>
      <c r="V44">
        <v>1</v>
      </c>
      <c r="W44">
        <v>1</v>
      </c>
      <c r="X44">
        <v>5</v>
      </c>
      <c r="Y44">
        <v>43</v>
      </c>
      <c r="Z44">
        <v>21</v>
      </c>
      <c r="AA44">
        <v>0.46700000000000003</v>
      </c>
      <c r="AB44">
        <v>0.39600000000000002</v>
      </c>
      <c r="AC44">
        <v>0.86299999999999999</v>
      </c>
      <c r="AD44">
        <v>45</v>
      </c>
      <c r="AE44">
        <v>0.32800000000000001</v>
      </c>
      <c r="AF44">
        <v>0</v>
      </c>
      <c r="AG44">
        <f>(표1[[#This Row],[TB]]-표1[[#This Row],[H]])/표1[[#This Row],[AB]]</f>
        <v>0.13473684210526315</v>
      </c>
      <c r="AH44">
        <f>(표1[[#This Row],[TB]]-표1[[#This Row],[H]]+표1[[#This Row],[BB]]+표1[[#This Row],[SB]]-표1[[#This Row],[CS]])/표1[[#This Row],[AB]]</f>
        <v>0.23578947368421052</v>
      </c>
      <c r="AI44">
        <f>(표1[[#This Row],[TB]]+표1[[#This Row],[BB]]+표1[[#This Row],[HBP]]+표1[[#This Row],[SB]]-표1[[#This Row],[CS]])/(표1[[#This Row],[AB]]-표1[[#This Row],[H]]+표1[[#This Row],[CS]]+표1[[#This Row],[GDP]])</f>
        <v>0.8112094395280236</v>
      </c>
      <c r="AJ4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84.681818181818187</v>
      </c>
      <c r="AK44">
        <f>표1[[#This Row],[RC]]/((표1[[#This Row],[AB]]-표1[[#This Row],[H]]+표1[[#This Row],[SAC]]+표1[[#This Row],[SF]]+표1[[#This Row],[CS]]+표1[[#This Row],[GDP]])/27)</f>
        <v>6.5325974025974025</v>
      </c>
      <c r="AL4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0.37547834274952924</v>
      </c>
      <c r="AM4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79.326000000000022</v>
      </c>
    </row>
    <row r="45" spans="1:39" x14ac:dyDescent="0.3">
      <c r="A45" t="str">
        <f>_xlfn.CONCAT(표1[[#This Row],[Year]],표1[[#This Row],[Player]])</f>
        <v>2003양준혁</v>
      </c>
      <c r="B45">
        <v>2003</v>
      </c>
      <c r="C45">
        <v>4</v>
      </c>
      <c r="D45" t="s">
        <v>5</v>
      </c>
      <c r="E45" t="s">
        <v>6</v>
      </c>
      <c r="F45">
        <v>0.32900000000000001</v>
      </c>
      <c r="G45">
        <v>133</v>
      </c>
      <c r="H45">
        <v>551</v>
      </c>
      <c r="I45">
        <v>490</v>
      </c>
      <c r="J45">
        <v>90</v>
      </c>
      <c r="K45">
        <v>161</v>
      </c>
      <c r="L45">
        <f>표1[[#This Row],[H]]-표1[[#This Row],[2B]]-표1[[#This Row],[3B]]-표1[[#This Row],[HR]]</f>
        <v>89</v>
      </c>
      <c r="M45">
        <v>37</v>
      </c>
      <c r="N45">
        <v>2</v>
      </c>
      <c r="O45">
        <v>33</v>
      </c>
      <c r="P45">
        <v>301</v>
      </c>
      <c r="Q45">
        <v>92</v>
      </c>
      <c r="R45">
        <v>4</v>
      </c>
      <c r="S45">
        <v>2</v>
      </c>
      <c r="T45">
        <v>49</v>
      </c>
      <c r="U45">
        <v>2</v>
      </c>
      <c r="V45">
        <v>2</v>
      </c>
      <c r="W45">
        <v>5</v>
      </c>
      <c r="X45">
        <v>6</v>
      </c>
      <c r="Y45">
        <v>49</v>
      </c>
      <c r="Z45">
        <v>13</v>
      </c>
      <c r="AA45">
        <v>0.61399999999999999</v>
      </c>
      <c r="AB45">
        <v>0.39500000000000002</v>
      </c>
      <c r="AC45">
        <v>1.0089999999999999</v>
      </c>
      <c r="AD45">
        <v>48</v>
      </c>
      <c r="AE45">
        <v>0.35399999999999998</v>
      </c>
      <c r="AF45">
        <v>0</v>
      </c>
      <c r="AG45">
        <f>(표1[[#This Row],[TB]]-표1[[#This Row],[H]])/표1[[#This Row],[AB]]</f>
        <v>0.2857142857142857</v>
      </c>
      <c r="AH45">
        <f>(표1[[#This Row],[TB]]-표1[[#This Row],[H]]+표1[[#This Row],[BB]]+표1[[#This Row],[SB]]-표1[[#This Row],[CS]])/표1[[#This Row],[AB]]</f>
        <v>0.37959183673469388</v>
      </c>
      <c r="AI45">
        <f>(표1[[#This Row],[TB]]+표1[[#This Row],[BB]]+표1[[#This Row],[HBP]]+표1[[#This Row],[SB]]-표1[[#This Row],[CS]])/(표1[[#This Row],[AB]]-표1[[#This Row],[H]]+표1[[#This Row],[CS]]+표1[[#This Row],[GDP]])</f>
        <v>1.0172910662824208</v>
      </c>
      <c r="AJ4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114.61001814882033</v>
      </c>
      <c r="AK45">
        <f>표1[[#This Row],[RC]]/((표1[[#This Row],[AB]]-표1[[#This Row],[H]]+표1[[#This Row],[SAC]]+표1[[#This Row],[SF]]+표1[[#This Row],[CS]]+표1[[#This Row],[GDP]])/27)</f>
        <v>8.7662053541590623</v>
      </c>
      <c r="AL4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0.42769541284403667</v>
      </c>
      <c r="AM4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104.10799999999998</v>
      </c>
    </row>
    <row r="46" spans="1:39" x14ac:dyDescent="0.3">
      <c r="A46" t="str">
        <f>_xlfn.CONCAT(표1[[#This Row],[Year]],표1[[#This Row],[Player]])</f>
        <v>2003이진영</v>
      </c>
      <c r="B46">
        <v>2003</v>
      </c>
      <c r="C46">
        <v>5</v>
      </c>
      <c r="D46" t="s">
        <v>7</v>
      </c>
      <c r="E46" t="s">
        <v>8</v>
      </c>
      <c r="F46">
        <v>0.32800000000000001</v>
      </c>
      <c r="G46">
        <v>128</v>
      </c>
      <c r="H46">
        <v>562</v>
      </c>
      <c r="I46">
        <v>481</v>
      </c>
      <c r="J46">
        <v>81</v>
      </c>
      <c r="K46">
        <v>158</v>
      </c>
      <c r="L46">
        <f>표1[[#This Row],[H]]-표1[[#This Row],[2B]]-표1[[#This Row],[3B]]-표1[[#This Row],[HR]]</f>
        <v>106</v>
      </c>
      <c r="M46">
        <v>29</v>
      </c>
      <c r="N46">
        <v>6</v>
      </c>
      <c r="O46">
        <v>17</v>
      </c>
      <c r="P46">
        <v>250</v>
      </c>
      <c r="Q46">
        <v>70</v>
      </c>
      <c r="R46">
        <v>13</v>
      </c>
      <c r="S46">
        <v>2</v>
      </c>
      <c r="T46">
        <v>62</v>
      </c>
      <c r="U46">
        <v>1</v>
      </c>
      <c r="V46">
        <v>10</v>
      </c>
      <c r="W46">
        <v>9</v>
      </c>
      <c r="X46">
        <v>4</v>
      </c>
      <c r="Y46">
        <v>76</v>
      </c>
      <c r="Z46">
        <v>6</v>
      </c>
      <c r="AA46">
        <v>0.52</v>
      </c>
      <c r="AB46">
        <v>0.40799999999999997</v>
      </c>
      <c r="AC46">
        <v>0.92800000000000005</v>
      </c>
      <c r="AD46">
        <v>45</v>
      </c>
      <c r="AE46">
        <v>0.36399999999999999</v>
      </c>
      <c r="AF46">
        <v>0</v>
      </c>
      <c r="AG46">
        <f>(표1[[#This Row],[TB]]-표1[[#This Row],[H]])/표1[[#This Row],[AB]]</f>
        <v>0.19126819126819128</v>
      </c>
      <c r="AH46">
        <f>(표1[[#This Row],[TB]]-표1[[#This Row],[H]]+표1[[#This Row],[BB]]+표1[[#This Row],[SB]]-표1[[#This Row],[CS]])/표1[[#This Row],[AB]]</f>
        <v>0.32224532224532226</v>
      </c>
      <c r="AI46">
        <f>(표1[[#This Row],[TB]]+표1[[#This Row],[BB]]+표1[[#This Row],[HBP]]+표1[[#This Row],[SB]]-표1[[#This Row],[CS]])/(표1[[#This Row],[AB]]-표1[[#This Row],[H]]+표1[[#This Row],[CS]]+표1[[#This Row],[GDP]])</f>
        <v>0.93786982248520712</v>
      </c>
      <c r="AJ4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104.09092526690391</v>
      </c>
      <c r="AK46">
        <f>표1[[#This Row],[RC]]/((표1[[#This Row],[AB]]-표1[[#This Row],[H]]+표1[[#This Row],[SAC]]+표1[[#This Row],[SF]]+표1[[#This Row],[CS]]+표1[[#This Row],[GDP]])/27)</f>
        <v>7.9616288447773522</v>
      </c>
      <c r="AL4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0.40098540145985395</v>
      </c>
      <c r="AM4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95.231999999999971</v>
      </c>
    </row>
    <row r="47" spans="1:39" x14ac:dyDescent="0.3">
      <c r="A47" t="str">
        <f>_xlfn.CONCAT(표1[[#This Row],[Year]],표1[[#This Row],[Player]])</f>
        <v>2003박한이</v>
      </c>
      <c r="B47">
        <v>2003</v>
      </c>
      <c r="C47">
        <v>6</v>
      </c>
      <c r="D47" t="s">
        <v>9</v>
      </c>
      <c r="E47" t="s">
        <v>6</v>
      </c>
      <c r="F47">
        <v>0.32200000000000001</v>
      </c>
      <c r="G47">
        <v>133</v>
      </c>
      <c r="H47">
        <v>612</v>
      </c>
      <c r="I47">
        <v>528</v>
      </c>
      <c r="J47">
        <v>113</v>
      </c>
      <c r="K47">
        <v>170</v>
      </c>
      <c r="L47">
        <f>표1[[#This Row],[H]]-표1[[#This Row],[2B]]-표1[[#This Row],[3B]]-표1[[#This Row],[HR]]</f>
        <v>123</v>
      </c>
      <c r="M47">
        <v>34</v>
      </c>
      <c r="N47">
        <v>1</v>
      </c>
      <c r="O47">
        <v>12</v>
      </c>
      <c r="P47">
        <v>242</v>
      </c>
      <c r="Q47">
        <v>59</v>
      </c>
      <c r="R47">
        <v>8</v>
      </c>
      <c r="S47">
        <v>5</v>
      </c>
      <c r="T47">
        <v>63</v>
      </c>
      <c r="U47">
        <v>1</v>
      </c>
      <c r="V47">
        <v>17</v>
      </c>
      <c r="W47">
        <v>7</v>
      </c>
      <c r="X47">
        <v>8</v>
      </c>
      <c r="Y47">
        <v>55</v>
      </c>
      <c r="Z47">
        <v>7</v>
      </c>
      <c r="AA47">
        <v>0.45800000000000002</v>
      </c>
      <c r="AB47">
        <v>0.39900000000000002</v>
      </c>
      <c r="AC47">
        <v>0.85699999999999998</v>
      </c>
      <c r="AD47">
        <v>53</v>
      </c>
      <c r="AE47">
        <v>0.314</v>
      </c>
      <c r="AF47">
        <v>0</v>
      </c>
      <c r="AG47">
        <f>(표1[[#This Row],[TB]]-표1[[#This Row],[H]])/표1[[#This Row],[AB]]</f>
        <v>0.13636363636363635</v>
      </c>
      <c r="AH47">
        <f>(표1[[#This Row],[TB]]-표1[[#This Row],[H]]+표1[[#This Row],[BB]]+표1[[#This Row],[SB]]-표1[[#This Row],[CS]])/표1[[#This Row],[AB]]</f>
        <v>0.2746212121212121</v>
      </c>
      <c r="AI47">
        <f>(표1[[#This Row],[TB]]+표1[[#This Row],[BB]]+표1[[#This Row],[HBP]]+표1[[#This Row],[SB]]-표1[[#This Row],[CS]])/(표1[[#This Row],[AB]]-표1[[#This Row],[H]]+표1[[#This Row],[CS]]+표1[[#This Row],[GDP]])</f>
        <v>0.86827956989247312</v>
      </c>
      <c r="AJ4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102.2983660130719</v>
      </c>
      <c r="AK47">
        <f>표1[[#This Row],[RC]]/((표1[[#This Row],[AB]]-표1[[#This Row],[H]]+표1[[#This Row],[SAC]]+표1[[#This Row],[SF]]+표1[[#This Row],[CS]]+표1[[#This Row],[GDP]])/27)</f>
        <v>7.1741711229946521</v>
      </c>
      <c r="AL4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0.37541791044776118</v>
      </c>
      <c r="AM4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96.09</v>
      </c>
    </row>
    <row r="48" spans="1:39" x14ac:dyDescent="0.3">
      <c r="A48" t="str">
        <f>_xlfn.CONCAT(표1[[#This Row],[Year]],표1[[#This Row],[Player]])</f>
        <v>2003김태균</v>
      </c>
      <c r="B48">
        <v>2003</v>
      </c>
      <c r="C48">
        <v>7</v>
      </c>
      <c r="D48" t="s">
        <v>10</v>
      </c>
      <c r="E48" t="s">
        <v>11</v>
      </c>
      <c r="F48">
        <v>0.31900000000000001</v>
      </c>
      <c r="G48">
        <v>133</v>
      </c>
      <c r="H48">
        <v>573</v>
      </c>
      <c r="I48">
        <v>479</v>
      </c>
      <c r="J48">
        <v>67</v>
      </c>
      <c r="K48">
        <v>153</v>
      </c>
      <c r="L48">
        <f>표1[[#This Row],[H]]-표1[[#This Row],[2B]]-표1[[#This Row],[3B]]-표1[[#This Row],[HR]]</f>
        <v>96</v>
      </c>
      <c r="M48">
        <v>24</v>
      </c>
      <c r="N48">
        <v>2</v>
      </c>
      <c r="O48">
        <v>31</v>
      </c>
      <c r="P48">
        <v>274</v>
      </c>
      <c r="Q48">
        <v>95</v>
      </c>
      <c r="R48">
        <v>4</v>
      </c>
      <c r="S48">
        <v>2</v>
      </c>
      <c r="T48">
        <v>79</v>
      </c>
      <c r="U48">
        <v>6</v>
      </c>
      <c r="V48">
        <v>3</v>
      </c>
      <c r="W48">
        <v>2</v>
      </c>
      <c r="X48">
        <v>9</v>
      </c>
      <c r="Y48">
        <v>106</v>
      </c>
      <c r="Z48">
        <v>13</v>
      </c>
      <c r="AA48">
        <v>0.57199999999999995</v>
      </c>
      <c r="AB48">
        <v>0.42399999999999999</v>
      </c>
      <c r="AC48">
        <v>0.996</v>
      </c>
      <c r="AD48">
        <v>41</v>
      </c>
      <c r="AE48">
        <v>0.34300000000000003</v>
      </c>
      <c r="AF48">
        <v>0</v>
      </c>
      <c r="AG48">
        <f>(표1[[#This Row],[TB]]-표1[[#This Row],[H]])/표1[[#This Row],[AB]]</f>
        <v>0.25260960334029225</v>
      </c>
      <c r="AH48">
        <f>(표1[[#This Row],[TB]]-표1[[#This Row],[H]]+표1[[#This Row],[BB]]+표1[[#This Row],[SB]]-표1[[#This Row],[CS]])/표1[[#This Row],[AB]]</f>
        <v>0.41962421711899789</v>
      </c>
      <c r="AI48">
        <f>(표1[[#This Row],[TB]]+표1[[#This Row],[BB]]+표1[[#This Row],[HBP]]+표1[[#This Row],[SB]]-표1[[#This Row],[CS]])/(표1[[#This Row],[AB]]-표1[[#This Row],[H]]+표1[[#This Row],[CS]]+표1[[#This Row],[GDP]])</f>
        <v>1.064516129032258</v>
      </c>
      <c r="AJ4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118.32460732984293</v>
      </c>
      <c r="AK48">
        <f>표1[[#This Row],[RC]]/((표1[[#This Row],[AB]]-표1[[#This Row],[H]]+표1[[#This Row],[SAC]]+표1[[#This Row],[SF]]+표1[[#This Row],[CS]]+표1[[#This Row],[GDP]])/27)</f>
        <v>9.2068138268177506</v>
      </c>
      <c r="AL4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0.4244351687388988</v>
      </c>
      <c r="AM4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107.182</v>
      </c>
    </row>
    <row r="49" spans="1:39" x14ac:dyDescent="0.3">
      <c r="A49" t="str">
        <f>_xlfn.CONCAT(표1[[#This Row],[Year]],표1[[#This Row],[Player]])</f>
        <v>2003장성호</v>
      </c>
      <c r="B49">
        <v>2003</v>
      </c>
      <c r="C49">
        <v>8</v>
      </c>
      <c r="D49" t="s">
        <v>12</v>
      </c>
      <c r="E49" t="s">
        <v>13</v>
      </c>
      <c r="F49">
        <v>0.315</v>
      </c>
      <c r="G49">
        <v>130</v>
      </c>
      <c r="H49">
        <v>571</v>
      </c>
      <c r="I49">
        <v>476</v>
      </c>
      <c r="J49">
        <v>93</v>
      </c>
      <c r="K49">
        <v>150</v>
      </c>
      <c r="L49">
        <f>표1[[#This Row],[H]]-표1[[#This Row],[2B]]-표1[[#This Row],[3B]]-표1[[#This Row],[HR]]</f>
        <v>91</v>
      </c>
      <c r="M49">
        <v>36</v>
      </c>
      <c r="N49">
        <v>2</v>
      </c>
      <c r="O49">
        <v>21</v>
      </c>
      <c r="P49">
        <v>253</v>
      </c>
      <c r="Q49">
        <v>105</v>
      </c>
      <c r="R49">
        <v>3</v>
      </c>
      <c r="S49">
        <v>5</v>
      </c>
      <c r="T49">
        <v>84</v>
      </c>
      <c r="U49">
        <v>7</v>
      </c>
      <c r="V49">
        <v>13</v>
      </c>
      <c r="W49">
        <v>4</v>
      </c>
      <c r="X49">
        <v>3</v>
      </c>
      <c r="Y49">
        <v>52</v>
      </c>
      <c r="Z49">
        <v>7</v>
      </c>
      <c r="AA49">
        <v>0.53200000000000003</v>
      </c>
      <c r="AB49">
        <v>0.41699999999999998</v>
      </c>
      <c r="AC49">
        <v>0.94899999999999995</v>
      </c>
      <c r="AD49">
        <v>38</v>
      </c>
      <c r="AE49">
        <v>0.34799999999999998</v>
      </c>
      <c r="AF49">
        <v>0</v>
      </c>
      <c r="AG49">
        <f>(표1[[#This Row],[TB]]-표1[[#This Row],[H]])/표1[[#This Row],[AB]]</f>
        <v>0.21638655462184875</v>
      </c>
      <c r="AH49">
        <f>(표1[[#This Row],[TB]]-표1[[#This Row],[H]]+표1[[#This Row],[BB]]+표1[[#This Row],[SB]]-표1[[#This Row],[CS]])/표1[[#This Row],[AB]]</f>
        <v>0.41176470588235292</v>
      </c>
      <c r="AI49">
        <f>(표1[[#This Row],[TB]]+표1[[#This Row],[BB]]+표1[[#This Row],[HBP]]+표1[[#This Row],[SB]]-표1[[#This Row],[CS]])/(표1[[#This Row],[AB]]-표1[[#This Row],[H]]+표1[[#This Row],[CS]]+표1[[#This Row],[GDP]])</f>
        <v>1.0356083086053411</v>
      </c>
      <c r="AJ4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112.69127845884415</v>
      </c>
      <c r="AK49">
        <f>표1[[#This Row],[RC]]/((표1[[#This Row],[AB]]-표1[[#This Row],[H]]+표1[[#This Row],[SAC]]+표1[[#This Row],[SF]]+표1[[#This Row],[CS]]+표1[[#This Row],[GDP]])/27)</f>
        <v>8.8193174446051934</v>
      </c>
      <c r="AL4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0.40547771836007135</v>
      </c>
      <c r="AM4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103.374</v>
      </c>
    </row>
    <row r="50" spans="1:39" x14ac:dyDescent="0.3">
      <c r="A50" t="str">
        <f>_xlfn.CONCAT(표1[[#This Row],[Year]],표1[[#This Row],[Player]])</f>
        <v>2003이종범</v>
      </c>
      <c r="B50">
        <v>2003</v>
      </c>
      <c r="C50">
        <v>9</v>
      </c>
      <c r="D50" t="s">
        <v>14</v>
      </c>
      <c r="E50" t="s">
        <v>13</v>
      </c>
      <c r="F50">
        <v>0.315</v>
      </c>
      <c r="G50">
        <v>132</v>
      </c>
      <c r="H50">
        <v>595</v>
      </c>
      <c r="I50">
        <v>524</v>
      </c>
      <c r="J50">
        <v>110</v>
      </c>
      <c r="K50">
        <v>165</v>
      </c>
      <c r="L50">
        <f>표1[[#This Row],[H]]-표1[[#This Row],[2B]]-표1[[#This Row],[3B]]-표1[[#This Row],[HR]]</f>
        <v>101</v>
      </c>
      <c r="M50">
        <v>43</v>
      </c>
      <c r="N50">
        <v>1</v>
      </c>
      <c r="O50">
        <v>20</v>
      </c>
      <c r="P50">
        <v>270</v>
      </c>
      <c r="Q50">
        <v>61</v>
      </c>
      <c r="R50">
        <v>1</v>
      </c>
      <c r="S50">
        <v>4</v>
      </c>
      <c r="T50">
        <v>59</v>
      </c>
      <c r="U50">
        <v>5</v>
      </c>
      <c r="V50">
        <v>50</v>
      </c>
      <c r="W50">
        <v>10</v>
      </c>
      <c r="X50">
        <v>7</v>
      </c>
      <c r="Y50">
        <v>58</v>
      </c>
      <c r="Z50">
        <v>8</v>
      </c>
      <c r="AA50">
        <v>0.51500000000000001</v>
      </c>
      <c r="AB50">
        <v>0.38900000000000001</v>
      </c>
      <c r="AC50">
        <v>0.90400000000000003</v>
      </c>
      <c r="AD50">
        <v>48</v>
      </c>
      <c r="AE50">
        <v>0.33700000000000002</v>
      </c>
      <c r="AF50">
        <v>0</v>
      </c>
      <c r="AG50">
        <f>(표1[[#This Row],[TB]]-표1[[#This Row],[H]])/표1[[#This Row],[AB]]</f>
        <v>0.20038167938931298</v>
      </c>
      <c r="AH50">
        <f>(표1[[#This Row],[TB]]-표1[[#This Row],[H]]+표1[[#This Row],[BB]]+표1[[#This Row],[SB]]-표1[[#This Row],[CS]])/표1[[#This Row],[AB]]</f>
        <v>0.38931297709923662</v>
      </c>
      <c r="AI50">
        <f>(표1[[#This Row],[TB]]+표1[[#This Row],[BB]]+표1[[#This Row],[HBP]]+표1[[#This Row],[SB]]-표1[[#This Row],[CS]])/(표1[[#This Row],[AB]]-표1[[#This Row],[H]]+표1[[#This Row],[CS]]+표1[[#This Row],[GDP]])</f>
        <v>0.99734748010610075</v>
      </c>
      <c r="AJ5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112.57139495798322</v>
      </c>
      <c r="AK50">
        <f>표1[[#This Row],[RC]]/((표1[[#This Row],[AB]]-표1[[#This Row],[H]]+표1[[#This Row],[SAC]]+표1[[#This Row],[SF]]+표1[[#This Row],[CS]]+표1[[#This Row],[GDP]])/27)</f>
        <v>7.956616921113997</v>
      </c>
      <c r="AL5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0.38787096774193547</v>
      </c>
      <c r="AM5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104.87600000000002</v>
      </c>
    </row>
    <row r="51" spans="1:39" x14ac:dyDescent="0.3">
      <c r="A51" t="str">
        <f>_xlfn.CONCAT(표1[[#This Row],[Year]],표1[[#This Row],[Player]])</f>
        <v>2003김동수</v>
      </c>
      <c r="B51">
        <v>2003</v>
      </c>
      <c r="C51">
        <v>10</v>
      </c>
      <c r="D51" t="s">
        <v>15</v>
      </c>
      <c r="E51" t="s">
        <v>3</v>
      </c>
      <c r="F51">
        <v>0.308</v>
      </c>
      <c r="G51">
        <v>117</v>
      </c>
      <c r="H51">
        <v>441</v>
      </c>
      <c r="I51">
        <v>367</v>
      </c>
      <c r="J51">
        <v>48</v>
      </c>
      <c r="K51">
        <v>113</v>
      </c>
      <c r="L51">
        <f>표1[[#This Row],[H]]-표1[[#This Row],[2B]]-표1[[#This Row],[3B]]-표1[[#This Row],[HR]]</f>
        <v>81</v>
      </c>
      <c r="M51">
        <v>15</v>
      </c>
      <c r="N51">
        <v>1</v>
      </c>
      <c r="O51">
        <v>16</v>
      </c>
      <c r="P51">
        <v>178</v>
      </c>
      <c r="Q51">
        <v>68</v>
      </c>
      <c r="R51">
        <v>15</v>
      </c>
      <c r="S51">
        <v>6</v>
      </c>
      <c r="T51">
        <v>45</v>
      </c>
      <c r="U51">
        <v>5</v>
      </c>
      <c r="V51">
        <v>3</v>
      </c>
      <c r="W51">
        <v>4</v>
      </c>
      <c r="X51">
        <v>8</v>
      </c>
      <c r="Y51">
        <v>57</v>
      </c>
      <c r="Z51">
        <v>10</v>
      </c>
      <c r="AA51">
        <v>0.48499999999999999</v>
      </c>
      <c r="AB51">
        <v>0.39</v>
      </c>
      <c r="AC51">
        <v>0.875</v>
      </c>
      <c r="AD51">
        <v>29</v>
      </c>
      <c r="AE51">
        <v>0.35</v>
      </c>
      <c r="AF51">
        <v>0.28599999999999998</v>
      </c>
      <c r="AG51">
        <f>(표1[[#This Row],[TB]]-표1[[#This Row],[H]])/표1[[#This Row],[AB]]</f>
        <v>0.17711171662125341</v>
      </c>
      <c r="AH51">
        <f>(표1[[#This Row],[TB]]-표1[[#This Row],[H]]+표1[[#This Row],[BB]]+표1[[#This Row],[SB]]-표1[[#This Row],[CS]])/표1[[#This Row],[AB]]</f>
        <v>0.29700272479564033</v>
      </c>
      <c r="AI51">
        <f>(표1[[#This Row],[TB]]+표1[[#This Row],[BB]]+표1[[#This Row],[HBP]]+표1[[#This Row],[SB]]-표1[[#This Row],[CS]])/(표1[[#This Row],[AB]]-표1[[#This Row],[H]]+표1[[#This Row],[CS]]+표1[[#This Row],[GDP]])</f>
        <v>0.85820895522388063</v>
      </c>
      <c r="AJ5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69.954467120181405</v>
      </c>
      <c r="AK51">
        <f>표1[[#This Row],[RC]]/((표1[[#This Row],[AB]]-표1[[#This Row],[H]]+표1[[#This Row],[SAC]]+표1[[#This Row],[SF]]+표1[[#This Row],[CS]]+표1[[#This Row],[GDP]])/27)</f>
        <v>6.5355384506743874</v>
      </c>
      <c r="AL5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0.37623752969121144</v>
      </c>
      <c r="AM5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68.013999999999982</v>
      </c>
    </row>
    <row r="52" spans="1:39" x14ac:dyDescent="0.3">
      <c r="A52" t="str">
        <f>_xlfn.CONCAT(표1[[#This Row],[Year]],표1[[#This Row],[Player]])</f>
        <v>2003조성환</v>
      </c>
      <c r="B52">
        <v>2003</v>
      </c>
      <c r="C52">
        <v>11</v>
      </c>
      <c r="D52" t="s">
        <v>16</v>
      </c>
      <c r="E52" t="s">
        <v>17</v>
      </c>
      <c r="F52">
        <v>0.307</v>
      </c>
      <c r="G52">
        <v>129</v>
      </c>
      <c r="H52">
        <v>543</v>
      </c>
      <c r="I52">
        <v>486</v>
      </c>
      <c r="J52">
        <v>73</v>
      </c>
      <c r="K52">
        <v>149</v>
      </c>
      <c r="L52">
        <f>표1[[#This Row],[H]]-표1[[#This Row],[2B]]-표1[[#This Row],[3B]]-표1[[#This Row],[HR]]</f>
        <v>116</v>
      </c>
      <c r="M52">
        <v>25</v>
      </c>
      <c r="N52">
        <v>2</v>
      </c>
      <c r="O52">
        <v>6</v>
      </c>
      <c r="P52">
        <v>196</v>
      </c>
      <c r="Q52">
        <v>38</v>
      </c>
      <c r="R52">
        <v>7</v>
      </c>
      <c r="S52">
        <v>1</v>
      </c>
      <c r="T52">
        <v>37</v>
      </c>
      <c r="U52">
        <v>3</v>
      </c>
      <c r="V52">
        <v>23</v>
      </c>
      <c r="W52">
        <v>11</v>
      </c>
      <c r="X52">
        <v>12</v>
      </c>
      <c r="Y52">
        <v>57</v>
      </c>
      <c r="Z52">
        <v>5</v>
      </c>
      <c r="AA52">
        <v>0.40300000000000002</v>
      </c>
      <c r="AB52">
        <v>0.36899999999999999</v>
      </c>
      <c r="AC52">
        <v>0.77200000000000002</v>
      </c>
      <c r="AD52">
        <v>43</v>
      </c>
      <c r="AE52">
        <v>0.27900000000000003</v>
      </c>
      <c r="AF52">
        <v>0</v>
      </c>
      <c r="AG52">
        <f>(표1[[#This Row],[TB]]-표1[[#This Row],[H]])/표1[[#This Row],[AB]]</f>
        <v>9.6707818930041156E-2</v>
      </c>
      <c r="AH52">
        <f>(표1[[#This Row],[TB]]-표1[[#This Row],[H]]+표1[[#This Row],[BB]]+표1[[#This Row],[SB]]-표1[[#This Row],[CS]])/표1[[#This Row],[AB]]</f>
        <v>0.19753086419753085</v>
      </c>
      <c r="AI52">
        <f>(표1[[#This Row],[TB]]+표1[[#This Row],[BB]]+표1[[#This Row],[HBP]]+표1[[#This Row],[SB]]-표1[[#This Row],[CS]])/(표1[[#This Row],[AB]]-표1[[#This Row],[H]]+표1[[#This Row],[CS]]+표1[[#This Row],[GDP]])</f>
        <v>0.7280453257790368</v>
      </c>
      <c r="AJ5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75.106003683241255</v>
      </c>
      <c r="AK52">
        <f>표1[[#This Row],[RC]]/((표1[[#This Row],[AB]]-표1[[#This Row],[H]]+표1[[#This Row],[SAC]]+표1[[#This Row],[SF]]+표1[[#This Row],[CS]]+표1[[#This Row],[GDP]])/27)</f>
        <v>5.6173465358656891</v>
      </c>
      <c r="AL5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0.34082739212007507</v>
      </c>
      <c r="AM5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71.744000000000014</v>
      </c>
    </row>
    <row r="53" spans="1:39" x14ac:dyDescent="0.3">
      <c r="A53" t="str">
        <f>_xlfn.CONCAT(표1[[#This Row],[Year]],표1[[#This Row],[Player]])</f>
        <v>2003박재홍</v>
      </c>
      <c r="B53">
        <v>2003</v>
      </c>
      <c r="C53">
        <v>12</v>
      </c>
      <c r="D53" t="s">
        <v>18</v>
      </c>
      <c r="E53" t="s">
        <v>13</v>
      </c>
      <c r="F53">
        <v>0.30099999999999999</v>
      </c>
      <c r="G53">
        <v>108</v>
      </c>
      <c r="H53">
        <v>461</v>
      </c>
      <c r="I53">
        <v>392</v>
      </c>
      <c r="J53">
        <v>71</v>
      </c>
      <c r="K53">
        <v>118</v>
      </c>
      <c r="L53">
        <f>표1[[#This Row],[H]]-표1[[#This Row],[2B]]-표1[[#This Row],[3B]]-표1[[#This Row],[HR]]</f>
        <v>79</v>
      </c>
      <c r="M53">
        <v>15</v>
      </c>
      <c r="N53">
        <v>5</v>
      </c>
      <c r="O53">
        <v>19</v>
      </c>
      <c r="P53">
        <v>200</v>
      </c>
      <c r="Q53">
        <v>66</v>
      </c>
      <c r="R53">
        <v>6</v>
      </c>
      <c r="S53">
        <v>2</v>
      </c>
      <c r="T53">
        <v>60</v>
      </c>
      <c r="U53">
        <v>1</v>
      </c>
      <c r="V53">
        <v>14</v>
      </c>
      <c r="W53">
        <v>9</v>
      </c>
      <c r="X53">
        <v>1</v>
      </c>
      <c r="Y53">
        <v>84</v>
      </c>
      <c r="Z53">
        <v>11</v>
      </c>
      <c r="AA53">
        <v>0.51</v>
      </c>
      <c r="AB53">
        <v>0.39300000000000002</v>
      </c>
      <c r="AC53">
        <v>0.90300000000000002</v>
      </c>
      <c r="AD53">
        <v>36</v>
      </c>
      <c r="AE53">
        <v>0.315</v>
      </c>
      <c r="AF53">
        <v>0</v>
      </c>
      <c r="AG53">
        <f>(표1[[#This Row],[TB]]-표1[[#This Row],[H]])/표1[[#This Row],[AB]]</f>
        <v>0.20918367346938777</v>
      </c>
      <c r="AH53">
        <f>(표1[[#This Row],[TB]]-표1[[#This Row],[H]]+표1[[#This Row],[BB]]+표1[[#This Row],[SB]]-표1[[#This Row],[CS]])/표1[[#This Row],[AB]]</f>
        <v>0.375</v>
      </c>
      <c r="AI53">
        <f>(표1[[#This Row],[TB]]+표1[[#This Row],[BB]]+표1[[#This Row],[HBP]]+표1[[#This Row],[SB]]-표1[[#This Row],[CS]])/(표1[[#This Row],[AB]]-표1[[#This Row],[H]]+표1[[#This Row],[CS]]+표1[[#This Row],[GDP]])</f>
        <v>0.90476190476190477</v>
      </c>
      <c r="AJ5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78.306637744034703</v>
      </c>
      <c r="AK53">
        <f>표1[[#This Row],[RC]]/((표1[[#This Row],[AB]]-표1[[#This Row],[H]]+표1[[#This Row],[SAC]]+표1[[#This Row],[SF]]+표1[[#This Row],[CS]]+표1[[#This Row],[GDP]])/27)</f>
        <v>7.0009245665196591</v>
      </c>
      <c r="AL5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0.39041629955947138</v>
      </c>
      <c r="AM5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74.728000000000009</v>
      </c>
    </row>
    <row r="54" spans="1:39" x14ac:dyDescent="0.3">
      <c r="A54" t="str">
        <f>_xlfn.CONCAT(표1[[#This Row],[Year]],표1[[#This Row],[Player]])</f>
        <v>2003이승엽</v>
      </c>
      <c r="B54">
        <v>2003</v>
      </c>
      <c r="C54">
        <v>13</v>
      </c>
      <c r="D54" t="s">
        <v>19</v>
      </c>
      <c r="E54" t="s">
        <v>6</v>
      </c>
      <c r="F54">
        <v>0.30099999999999999</v>
      </c>
      <c r="G54">
        <v>131</v>
      </c>
      <c r="H54">
        <v>596</v>
      </c>
      <c r="I54">
        <v>479</v>
      </c>
      <c r="J54">
        <v>115</v>
      </c>
      <c r="K54">
        <v>144</v>
      </c>
      <c r="L54">
        <f>표1[[#This Row],[H]]-표1[[#This Row],[2B]]-표1[[#This Row],[3B]]-표1[[#This Row],[HR]]</f>
        <v>65</v>
      </c>
      <c r="M54">
        <v>23</v>
      </c>
      <c r="N54">
        <v>0</v>
      </c>
      <c r="O54">
        <v>56</v>
      </c>
      <c r="P54">
        <v>335</v>
      </c>
      <c r="Q54">
        <v>144</v>
      </c>
      <c r="R54">
        <v>0</v>
      </c>
      <c r="S54">
        <v>6</v>
      </c>
      <c r="T54">
        <v>101</v>
      </c>
      <c r="U54">
        <v>9</v>
      </c>
      <c r="V54">
        <v>7</v>
      </c>
      <c r="W54">
        <v>0</v>
      </c>
      <c r="X54">
        <v>10</v>
      </c>
      <c r="Y54">
        <v>89</v>
      </c>
      <c r="Z54">
        <v>11</v>
      </c>
      <c r="AA54">
        <v>0.69899999999999995</v>
      </c>
      <c r="AB54">
        <v>0.42799999999999999</v>
      </c>
      <c r="AC54">
        <v>1.127</v>
      </c>
      <c r="AD54">
        <v>41</v>
      </c>
      <c r="AE54">
        <v>0.34599999999999997</v>
      </c>
      <c r="AF54">
        <v>0</v>
      </c>
      <c r="AG54">
        <f>(표1[[#This Row],[TB]]-표1[[#This Row],[H]])/표1[[#This Row],[AB]]</f>
        <v>0.39874739039665968</v>
      </c>
      <c r="AH54">
        <f>(표1[[#This Row],[TB]]-표1[[#This Row],[H]]+표1[[#This Row],[BB]]+표1[[#This Row],[SB]]-표1[[#This Row],[CS]])/표1[[#This Row],[AB]]</f>
        <v>0.62421711899791232</v>
      </c>
      <c r="AI54">
        <f>(표1[[#This Row],[TB]]+표1[[#This Row],[BB]]+표1[[#This Row],[HBP]]+표1[[#This Row],[SB]]-표1[[#This Row],[CS]])/(표1[[#This Row],[AB]]-표1[[#This Row],[H]]+표1[[#This Row],[CS]]+표1[[#This Row],[GDP]])</f>
        <v>1.3092485549132948</v>
      </c>
      <c r="AJ5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150.77234899328857</v>
      </c>
      <c r="AK54">
        <f>표1[[#This Row],[RC]]/((표1[[#This Row],[AB]]-표1[[#This Row],[H]]+표1[[#This Row],[SAC]]+표1[[#This Row],[SF]]+표1[[#This Row],[CS]]+표1[[#This Row],[GDP]])/27)</f>
        <v>11.564924496644295</v>
      </c>
      <c r="AL5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0.46407325383304943</v>
      </c>
      <c r="AM5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135.178</v>
      </c>
    </row>
    <row r="55" spans="1:39" x14ac:dyDescent="0.3">
      <c r="A55" t="str">
        <f>_xlfn.CONCAT(표1[[#This Row],[Year]],표1[[#This Row],[Player]])</f>
        <v>2003이영우</v>
      </c>
      <c r="B55">
        <v>2003</v>
      </c>
      <c r="C55">
        <v>14</v>
      </c>
      <c r="D55" t="s">
        <v>20</v>
      </c>
      <c r="E55" t="s">
        <v>11</v>
      </c>
      <c r="F55">
        <v>0.29699999999999999</v>
      </c>
      <c r="G55">
        <v>133</v>
      </c>
      <c r="H55">
        <v>590</v>
      </c>
      <c r="I55">
        <v>498</v>
      </c>
      <c r="J55">
        <v>90</v>
      </c>
      <c r="K55">
        <v>148</v>
      </c>
      <c r="L55">
        <f>표1[[#This Row],[H]]-표1[[#This Row],[2B]]-표1[[#This Row],[3B]]-표1[[#This Row],[HR]]</f>
        <v>100</v>
      </c>
      <c r="M55">
        <v>28</v>
      </c>
      <c r="N55">
        <v>4</v>
      </c>
      <c r="O55">
        <v>16</v>
      </c>
      <c r="P55">
        <v>232</v>
      </c>
      <c r="Q55">
        <v>71</v>
      </c>
      <c r="R55">
        <v>3</v>
      </c>
      <c r="S55">
        <v>3</v>
      </c>
      <c r="T55">
        <v>78</v>
      </c>
      <c r="U55">
        <v>7</v>
      </c>
      <c r="V55">
        <v>18</v>
      </c>
      <c r="W55">
        <v>9</v>
      </c>
      <c r="X55">
        <v>8</v>
      </c>
      <c r="Y55">
        <v>71</v>
      </c>
      <c r="Z55">
        <v>7</v>
      </c>
      <c r="AA55">
        <v>0.46600000000000003</v>
      </c>
      <c r="AB55">
        <v>0.39900000000000002</v>
      </c>
      <c r="AC55">
        <v>0.86499999999999999</v>
      </c>
      <c r="AD55">
        <v>42</v>
      </c>
      <c r="AE55">
        <v>0.311</v>
      </c>
      <c r="AF55">
        <v>0</v>
      </c>
      <c r="AG55">
        <f>(표1[[#This Row],[TB]]-표1[[#This Row],[H]])/표1[[#This Row],[AB]]</f>
        <v>0.16867469879518071</v>
      </c>
      <c r="AH55">
        <f>(표1[[#This Row],[TB]]-표1[[#This Row],[H]]+표1[[#This Row],[BB]]+표1[[#This Row],[SB]]-표1[[#This Row],[CS]])/표1[[#This Row],[AB]]</f>
        <v>0.34337349397590361</v>
      </c>
      <c r="AI55">
        <f>(표1[[#This Row],[TB]]+표1[[#This Row],[BB]]+표1[[#This Row],[HBP]]+표1[[#This Row],[SB]]-표1[[#This Row],[CS]])/(표1[[#This Row],[AB]]-표1[[#This Row],[H]]+표1[[#This Row],[CS]]+표1[[#This Row],[GDP]])</f>
        <v>0.89344262295081966</v>
      </c>
      <c r="AJ5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97.922644067796597</v>
      </c>
      <c r="AK55">
        <f>표1[[#This Row],[RC]]/((표1[[#This Row],[AB]]-표1[[#This Row],[H]]+표1[[#This Row],[SAC]]+표1[[#This Row],[SF]]+표1[[#This Row],[CS]]+표1[[#This Row],[GDP]])/27)</f>
        <v>7.1072886823400756</v>
      </c>
      <c r="AL5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0.37540172413793105</v>
      </c>
      <c r="AM5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92.901999999999987</v>
      </c>
    </row>
    <row r="56" spans="1:39" x14ac:dyDescent="0.3">
      <c r="A56" t="str">
        <f>_xlfn.CONCAT(표1[[#This Row],[Year]],표1[[#This Row],[Player]])</f>
        <v>2003김한수</v>
      </c>
      <c r="B56">
        <v>2003</v>
      </c>
      <c r="C56">
        <v>15</v>
      </c>
      <c r="D56" t="s">
        <v>21</v>
      </c>
      <c r="E56" t="s">
        <v>6</v>
      </c>
      <c r="F56">
        <v>0.29499999999999998</v>
      </c>
      <c r="G56">
        <v>131</v>
      </c>
      <c r="H56">
        <v>532</v>
      </c>
      <c r="I56">
        <v>478</v>
      </c>
      <c r="J56">
        <v>67</v>
      </c>
      <c r="K56">
        <v>141</v>
      </c>
      <c r="L56">
        <f>표1[[#This Row],[H]]-표1[[#This Row],[2B]]-표1[[#This Row],[3B]]-표1[[#This Row],[HR]]</f>
        <v>100</v>
      </c>
      <c r="M56">
        <v>23</v>
      </c>
      <c r="N56">
        <v>1</v>
      </c>
      <c r="O56">
        <v>17</v>
      </c>
      <c r="P56">
        <v>217</v>
      </c>
      <c r="Q56">
        <v>70</v>
      </c>
      <c r="R56">
        <v>4</v>
      </c>
      <c r="S56">
        <v>4</v>
      </c>
      <c r="T56">
        <v>29</v>
      </c>
      <c r="U56">
        <v>0</v>
      </c>
      <c r="V56">
        <v>5</v>
      </c>
      <c r="W56">
        <v>2</v>
      </c>
      <c r="X56">
        <v>17</v>
      </c>
      <c r="Y56">
        <v>57</v>
      </c>
      <c r="Z56">
        <v>20</v>
      </c>
      <c r="AA56">
        <v>0.45400000000000001</v>
      </c>
      <c r="AB56">
        <v>0.35399999999999998</v>
      </c>
      <c r="AC56">
        <v>0.80800000000000005</v>
      </c>
      <c r="AD56">
        <v>37</v>
      </c>
      <c r="AE56">
        <v>0.29399999999999998</v>
      </c>
      <c r="AF56">
        <v>0</v>
      </c>
      <c r="AG56">
        <f>(표1[[#This Row],[TB]]-표1[[#This Row],[H]])/표1[[#This Row],[AB]]</f>
        <v>0.15899581589958159</v>
      </c>
      <c r="AH56">
        <f>(표1[[#This Row],[TB]]-표1[[#This Row],[H]]+표1[[#This Row],[BB]]+표1[[#This Row],[SB]]-표1[[#This Row],[CS]])/표1[[#This Row],[AB]]</f>
        <v>0.22594142259414227</v>
      </c>
      <c r="AI56">
        <f>(표1[[#This Row],[TB]]+표1[[#This Row],[BB]]+표1[[#This Row],[HBP]]+표1[[#This Row],[SB]]-표1[[#This Row],[CS]])/(표1[[#This Row],[AB]]-표1[[#This Row],[H]]+표1[[#This Row],[CS]]+표1[[#This Row],[GDP]])</f>
        <v>0.74094707520891367</v>
      </c>
      <c r="AJ5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73.108646616541364</v>
      </c>
      <c r="AK56">
        <f>표1[[#This Row],[RC]]/((표1[[#This Row],[AB]]-표1[[#This Row],[H]]+표1[[#This Row],[SAC]]+표1[[#This Row],[SF]]+표1[[#This Row],[CS]]+표1[[#This Row],[GDP]])/27)</f>
        <v>5.378565282415849</v>
      </c>
      <c r="AL5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0.35265719696969694</v>
      </c>
      <c r="AM5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71.434000000000012</v>
      </c>
    </row>
    <row r="57" spans="1:39" x14ac:dyDescent="0.3">
      <c r="A57" t="str">
        <f>_xlfn.CONCAT(표1[[#This Row],[Year]],표1[[#This Row],[Player]])</f>
        <v>2003이숭용</v>
      </c>
      <c r="B57">
        <v>2003</v>
      </c>
      <c r="C57">
        <v>16</v>
      </c>
      <c r="D57" t="s">
        <v>22</v>
      </c>
      <c r="E57" t="s">
        <v>3</v>
      </c>
      <c r="F57">
        <v>0.29399999999999998</v>
      </c>
      <c r="G57">
        <v>133</v>
      </c>
      <c r="H57">
        <v>573</v>
      </c>
      <c r="I57">
        <v>511</v>
      </c>
      <c r="J57">
        <v>70</v>
      </c>
      <c r="K57">
        <v>150</v>
      </c>
      <c r="L57">
        <f>표1[[#This Row],[H]]-표1[[#This Row],[2B]]-표1[[#This Row],[3B]]-표1[[#This Row],[HR]]</f>
        <v>107</v>
      </c>
      <c r="M57">
        <v>25</v>
      </c>
      <c r="N57">
        <v>0</v>
      </c>
      <c r="O57">
        <v>18</v>
      </c>
      <c r="P57">
        <v>229</v>
      </c>
      <c r="Q57">
        <v>76</v>
      </c>
      <c r="R57">
        <v>7</v>
      </c>
      <c r="S57">
        <v>4</v>
      </c>
      <c r="T57">
        <v>47</v>
      </c>
      <c r="U57">
        <v>0</v>
      </c>
      <c r="V57">
        <v>4</v>
      </c>
      <c r="W57">
        <v>2</v>
      </c>
      <c r="X57">
        <v>4</v>
      </c>
      <c r="Y57">
        <v>69</v>
      </c>
      <c r="Z57">
        <v>10</v>
      </c>
      <c r="AA57">
        <v>0.44800000000000001</v>
      </c>
      <c r="AB57">
        <v>0.35499999999999998</v>
      </c>
      <c r="AC57">
        <v>0.80300000000000005</v>
      </c>
      <c r="AD57">
        <v>46</v>
      </c>
      <c r="AE57">
        <v>0.246</v>
      </c>
      <c r="AF57">
        <v>0</v>
      </c>
      <c r="AG57">
        <f>(표1[[#This Row],[TB]]-표1[[#This Row],[H]])/표1[[#This Row],[AB]]</f>
        <v>0.15459882583170254</v>
      </c>
      <c r="AH57">
        <f>(표1[[#This Row],[TB]]-표1[[#This Row],[H]]+표1[[#This Row],[BB]]+표1[[#This Row],[SB]]-표1[[#This Row],[CS]])/표1[[#This Row],[AB]]</f>
        <v>0.25048923679060664</v>
      </c>
      <c r="AI57">
        <f>(표1[[#This Row],[TB]]+표1[[#This Row],[BB]]+표1[[#This Row],[HBP]]+표1[[#This Row],[SB]]-표1[[#This Row],[CS]])/(표1[[#This Row],[AB]]-표1[[#This Row],[H]]+표1[[#This Row],[CS]]+표1[[#This Row],[GDP]])</f>
        <v>0.75603217158176939</v>
      </c>
      <c r="AJ5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82.480523560209434</v>
      </c>
      <c r="AK57">
        <f>표1[[#This Row],[RC]]/((표1[[#This Row],[AB]]-표1[[#This Row],[H]]+표1[[#This Row],[SAC]]+표1[[#This Row],[SF]]+표1[[#This Row],[CS]]+표1[[#This Row],[GDP]])/27)</f>
        <v>5.7994118128272261</v>
      </c>
      <c r="AL5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0.35056890459363954</v>
      </c>
      <c r="AM5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79.858000000000004</v>
      </c>
    </row>
    <row r="58" spans="1:39" x14ac:dyDescent="0.3">
      <c r="A58" t="str">
        <f>_xlfn.CONCAT(표1[[#This Row],[Year]],표1[[#This Row],[Player]])</f>
        <v>2003박종호</v>
      </c>
      <c r="B58">
        <v>2003</v>
      </c>
      <c r="C58">
        <v>17</v>
      </c>
      <c r="D58" t="s">
        <v>23</v>
      </c>
      <c r="E58" t="s">
        <v>3</v>
      </c>
      <c r="F58">
        <v>0.29299999999999998</v>
      </c>
      <c r="G58">
        <v>131</v>
      </c>
      <c r="H58">
        <v>597</v>
      </c>
      <c r="I58">
        <v>502</v>
      </c>
      <c r="J58">
        <v>90</v>
      </c>
      <c r="K58">
        <v>147</v>
      </c>
      <c r="L58">
        <f>표1[[#This Row],[H]]-표1[[#This Row],[2B]]-표1[[#This Row],[3B]]-표1[[#This Row],[HR]]</f>
        <v>111</v>
      </c>
      <c r="M58">
        <v>26</v>
      </c>
      <c r="N58">
        <v>4</v>
      </c>
      <c r="O58">
        <v>6</v>
      </c>
      <c r="P58">
        <v>199</v>
      </c>
      <c r="Q58">
        <v>61</v>
      </c>
      <c r="R58">
        <v>26</v>
      </c>
      <c r="S58">
        <v>4</v>
      </c>
      <c r="T58">
        <v>47</v>
      </c>
      <c r="U58">
        <v>0</v>
      </c>
      <c r="V58">
        <v>6</v>
      </c>
      <c r="W58">
        <v>4</v>
      </c>
      <c r="X58">
        <v>18</v>
      </c>
      <c r="Y58">
        <v>53</v>
      </c>
      <c r="Z58">
        <v>6</v>
      </c>
      <c r="AA58">
        <v>0.39600000000000002</v>
      </c>
      <c r="AB58">
        <v>0.371</v>
      </c>
      <c r="AC58">
        <v>0.76700000000000002</v>
      </c>
      <c r="AD58">
        <v>43</v>
      </c>
      <c r="AE58">
        <v>0.255</v>
      </c>
      <c r="AF58">
        <v>0</v>
      </c>
      <c r="AG58">
        <f>(표1[[#This Row],[TB]]-표1[[#This Row],[H]])/표1[[#This Row],[AB]]</f>
        <v>0.10358565737051793</v>
      </c>
      <c r="AH58">
        <f>(표1[[#This Row],[TB]]-표1[[#This Row],[H]]+표1[[#This Row],[BB]]+표1[[#This Row],[SB]]-표1[[#This Row],[CS]])/표1[[#This Row],[AB]]</f>
        <v>0.20119521912350596</v>
      </c>
      <c r="AI58">
        <f>(표1[[#This Row],[TB]]+표1[[#This Row],[BB]]+표1[[#This Row],[HBP]]+표1[[#This Row],[SB]]-표1[[#This Row],[CS]])/(표1[[#This Row],[AB]]-표1[[#This Row],[H]]+표1[[#This Row],[CS]]+표1[[#This Row],[GDP]])</f>
        <v>0.72876712328767124</v>
      </c>
      <c r="AJ5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79.385661641541034</v>
      </c>
      <c r="AK58">
        <f>표1[[#This Row],[RC]]/((표1[[#This Row],[AB]]-표1[[#This Row],[H]]+표1[[#This Row],[SAC]]+표1[[#This Row],[SF]]+표1[[#This Row],[CS]]+표1[[#This Row],[GDP]])/27)</f>
        <v>5.4263616818268554</v>
      </c>
      <c r="AL5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0.34150437828371272</v>
      </c>
      <c r="AM5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76.846000000000004</v>
      </c>
    </row>
    <row r="59" spans="1:39" x14ac:dyDescent="0.3">
      <c r="A59" t="str">
        <f>_xlfn.CONCAT(표1[[#This Row],[Year]],표1[[#This Row],[Player]])</f>
        <v>2003마해영</v>
      </c>
      <c r="B59">
        <v>2003</v>
      </c>
      <c r="C59">
        <v>18</v>
      </c>
      <c r="D59" t="s">
        <v>24</v>
      </c>
      <c r="E59" t="s">
        <v>6</v>
      </c>
      <c r="F59">
        <v>0.29099999999999998</v>
      </c>
      <c r="G59">
        <v>132</v>
      </c>
      <c r="H59">
        <v>573</v>
      </c>
      <c r="I59">
        <v>502</v>
      </c>
      <c r="J59">
        <v>90</v>
      </c>
      <c r="K59">
        <v>146</v>
      </c>
      <c r="L59">
        <f>표1[[#This Row],[H]]-표1[[#This Row],[2B]]-표1[[#This Row],[3B]]-표1[[#This Row],[HR]]</f>
        <v>83</v>
      </c>
      <c r="M59">
        <v>25</v>
      </c>
      <c r="N59">
        <v>0</v>
      </c>
      <c r="O59">
        <v>38</v>
      </c>
      <c r="P59">
        <v>285</v>
      </c>
      <c r="Q59">
        <v>123</v>
      </c>
      <c r="R59">
        <v>1</v>
      </c>
      <c r="S59">
        <v>4</v>
      </c>
      <c r="T59">
        <v>56</v>
      </c>
      <c r="U59">
        <v>3</v>
      </c>
      <c r="V59">
        <v>1</v>
      </c>
      <c r="W59">
        <v>1</v>
      </c>
      <c r="X59">
        <v>10</v>
      </c>
      <c r="Y59">
        <v>89</v>
      </c>
      <c r="Z59">
        <v>22</v>
      </c>
      <c r="AA59">
        <v>0.56799999999999995</v>
      </c>
      <c r="AB59">
        <v>0.371</v>
      </c>
      <c r="AC59">
        <v>0.93899999999999995</v>
      </c>
      <c r="AD59">
        <v>42</v>
      </c>
      <c r="AE59">
        <v>0.34399999999999997</v>
      </c>
      <c r="AF59">
        <v>0.5</v>
      </c>
      <c r="AG59">
        <f>(표1[[#This Row],[TB]]-표1[[#This Row],[H]])/표1[[#This Row],[AB]]</f>
        <v>0.27689243027888444</v>
      </c>
      <c r="AH59">
        <f>(표1[[#This Row],[TB]]-표1[[#This Row],[H]]+표1[[#This Row],[BB]]+표1[[#This Row],[SB]]-표1[[#This Row],[CS]])/표1[[#This Row],[AB]]</f>
        <v>0.38844621513944222</v>
      </c>
      <c r="AI59">
        <f>(표1[[#This Row],[TB]]+표1[[#This Row],[BB]]+표1[[#This Row],[HBP]]+표1[[#This Row],[SB]]-표1[[#This Row],[CS]])/(표1[[#This Row],[AB]]-표1[[#This Row],[H]]+표1[[#This Row],[CS]]+표1[[#This Row],[GDP]])</f>
        <v>0.92612137203166223</v>
      </c>
      <c r="AJ5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100.43717277486911</v>
      </c>
      <c r="AK59">
        <f>표1[[#This Row],[RC]]/((표1[[#This Row],[AB]]-표1[[#This Row],[H]]+표1[[#This Row],[SAC]]+표1[[#This Row],[SF]]+표1[[#This Row],[CS]]+표1[[#This Row],[GDP]])/27)</f>
        <v>7.0619887107329848</v>
      </c>
      <c r="AL5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0.39867135325131808</v>
      </c>
      <c r="AM5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96.878000000000014</v>
      </c>
    </row>
    <row r="60" spans="1:39" x14ac:dyDescent="0.3">
      <c r="A60" t="str">
        <f>_xlfn.CONCAT(표1[[#This Row],[Year]],표1[[#This Row],[Player]])</f>
        <v>2003장원진</v>
      </c>
      <c r="B60">
        <v>2003</v>
      </c>
      <c r="C60">
        <v>19</v>
      </c>
      <c r="D60" t="s">
        <v>25</v>
      </c>
      <c r="E60" t="s">
        <v>1</v>
      </c>
      <c r="F60">
        <v>0.28999999999999998</v>
      </c>
      <c r="G60">
        <v>124</v>
      </c>
      <c r="H60">
        <v>429</v>
      </c>
      <c r="I60">
        <v>386</v>
      </c>
      <c r="J60">
        <v>46</v>
      </c>
      <c r="K60">
        <v>112</v>
      </c>
      <c r="L60">
        <f>표1[[#This Row],[H]]-표1[[#This Row],[2B]]-표1[[#This Row],[3B]]-표1[[#This Row],[HR]]</f>
        <v>83</v>
      </c>
      <c r="M60">
        <v>23</v>
      </c>
      <c r="N60">
        <v>1</v>
      </c>
      <c r="O60">
        <v>5</v>
      </c>
      <c r="P60">
        <v>152</v>
      </c>
      <c r="Q60">
        <v>48</v>
      </c>
      <c r="R60">
        <v>4</v>
      </c>
      <c r="S60">
        <v>4</v>
      </c>
      <c r="T60">
        <v>31</v>
      </c>
      <c r="U60">
        <v>1</v>
      </c>
      <c r="V60">
        <v>1</v>
      </c>
      <c r="W60">
        <v>1</v>
      </c>
      <c r="X60">
        <v>4</v>
      </c>
      <c r="Y60">
        <v>38</v>
      </c>
      <c r="Z60">
        <v>6</v>
      </c>
      <c r="AA60">
        <v>0.39400000000000002</v>
      </c>
      <c r="AB60">
        <v>0.34599999999999997</v>
      </c>
      <c r="AC60">
        <v>0.74</v>
      </c>
      <c r="AD60">
        <v>30</v>
      </c>
      <c r="AE60">
        <v>0.27200000000000002</v>
      </c>
      <c r="AF60">
        <v>0.39100000000000001</v>
      </c>
      <c r="AG60">
        <f>(표1[[#This Row],[TB]]-표1[[#This Row],[H]])/표1[[#This Row],[AB]]</f>
        <v>0.10362694300518134</v>
      </c>
      <c r="AH60">
        <f>(표1[[#This Row],[TB]]-표1[[#This Row],[H]]+표1[[#This Row],[BB]]+표1[[#This Row],[SB]]-표1[[#This Row],[CS]])/표1[[#This Row],[AB]]</f>
        <v>0.18393782383419688</v>
      </c>
      <c r="AI60">
        <f>(표1[[#This Row],[TB]]+표1[[#This Row],[BB]]+표1[[#This Row],[HBP]]+표1[[#This Row],[SB]]-표1[[#This Row],[CS]])/(표1[[#This Row],[AB]]-표1[[#This Row],[H]]+표1[[#This Row],[CS]]+표1[[#This Row],[GDP]])</f>
        <v>0.66548042704626331</v>
      </c>
      <c r="AJ6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54.015850815850825</v>
      </c>
      <c r="AK60">
        <f>표1[[#This Row],[RC]]/((표1[[#This Row],[AB]]-표1[[#This Row],[H]]+표1[[#This Row],[SAC]]+표1[[#This Row],[SF]]+표1[[#This Row],[CS]]+표1[[#This Row],[GDP]])/27)</f>
        <v>5.0464635710310457</v>
      </c>
      <c r="AL6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0.32496226415094337</v>
      </c>
      <c r="AM6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52.426000000000009</v>
      </c>
    </row>
    <row r="61" spans="1:39" x14ac:dyDescent="0.3">
      <c r="A61" t="str">
        <f>_xlfn.CONCAT(표1[[#This Row],[Year]],표1[[#This Row],[Player]])</f>
        <v>2003진갑용</v>
      </c>
      <c r="B61">
        <v>2003</v>
      </c>
      <c r="C61">
        <v>20</v>
      </c>
      <c r="D61" t="s">
        <v>26</v>
      </c>
      <c r="E61" t="s">
        <v>6</v>
      </c>
      <c r="F61">
        <v>0.28999999999999998</v>
      </c>
      <c r="G61">
        <v>126</v>
      </c>
      <c r="H61">
        <v>485</v>
      </c>
      <c r="I61">
        <v>435</v>
      </c>
      <c r="J61">
        <v>64</v>
      </c>
      <c r="K61">
        <v>126</v>
      </c>
      <c r="L61">
        <f>표1[[#This Row],[H]]-표1[[#This Row],[2B]]-표1[[#This Row],[3B]]-표1[[#This Row],[HR]]</f>
        <v>83</v>
      </c>
      <c r="M61">
        <v>20</v>
      </c>
      <c r="N61">
        <v>2</v>
      </c>
      <c r="O61">
        <v>21</v>
      </c>
      <c r="P61">
        <v>213</v>
      </c>
      <c r="Q61">
        <v>53</v>
      </c>
      <c r="R61">
        <v>2</v>
      </c>
      <c r="S61">
        <v>2</v>
      </c>
      <c r="T61">
        <v>36</v>
      </c>
      <c r="U61">
        <v>3</v>
      </c>
      <c r="V61">
        <v>1</v>
      </c>
      <c r="W61">
        <v>1</v>
      </c>
      <c r="X61">
        <v>10</v>
      </c>
      <c r="Y61">
        <v>34</v>
      </c>
      <c r="Z61">
        <v>13</v>
      </c>
      <c r="AA61">
        <v>0.49</v>
      </c>
      <c r="AB61">
        <v>0.35599999999999998</v>
      </c>
      <c r="AC61">
        <v>0.84599999999999997</v>
      </c>
      <c r="AD61">
        <v>29</v>
      </c>
      <c r="AE61">
        <v>0.22800000000000001</v>
      </c>
      <c r="AF61">
        <v>0.6</v>
      </c>
      <c r="AG61">
        <f>(표1[[#This Row],[TB]]-표1[[#This Row],[H]])/표1[[#This Row],[AB]]</f>
        <v>0.2</v>
      </c>
      <c r="AH61">
        <f>(표1[[#This Row],[TB]]-표1[[#This Row],[H]]+표1[[#This Row],[BB]]+표1[[#This Row],[SB]]-표1[[#This Row],[CS]])/표1[[#This Row],[AB]]</f>
        <v>0.28275862068965518</v>
      </c>
      <c r="AI61">
        <f>(표1[[#This Row],[TB]]+표1[[#This Row],[BB]]+표1[[#This Row],[HBP]]+표1[[#This Row],[SB]]-표1[[#This Row],[CS]])/(표1[[#This Row],[AB]]-표1[[#This Row],[H]]+표1[[#This Row],[CS]]+표1[[#This Row],[GDP]])</f>
        <v>0.80185758513931893</v>
      </c>
      <c r="AJ6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73.878845360824741</v>
      </c>
      <c r="AK61">
        <f>표1[[#This Row],[RC]]/((표1[[#This Row],[AB]]-표1[[#This Row],[H]]+표1[[#This Row],[SAC]]+표1[[#This Row],[SF]]+표1[[#This Row],[CS]]+표1[[#This Row],[GDP]])/27)</f>
        <v>6.1000881490589238</v>
      </c>
      <c r="AL6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0.36445624999999998</v>
      </c>
      <c r="AM6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71.378000000000014</v>
      </c>
    </row>
    <row r="62" spans="1:39" x14ac:dyDescent="0.3">
      <c r="A62" t="str">
        <f>_xlfn.CONCAT(표1[[#This Row],[Year]],표1[[#This Row],[Player]])</f>
        <v>2003이호준</v>
      </c>
      <c r="B62">
        <v>2003</v>
      </c>
      <c r="C62">
        <v>21</v>
      </c>
      <c r="D62" t="s">
        <v>209</v>
      </c>
      <c r="E62" t="s">
        <v>8</v>
      </c>
      <c r="F62">
        <v>0.28999999999999998</v>
      </c>
      <c r="G62">
        <v>133</v>
      </c>
      <c r="H62">
        <v>554</v>
      </c>
      <c r="I62">
        <v>473</v>
      </c>
      <c r="J62">
        <v>86</v>
      </c>
      <c r="K62">
        <v>137</v>
      </c>
      <c r="L62">
        <f>표1[[#This Row],[H]]-표1[[#This Row],[2B]]-표1[[#This Row],[3B]]-표1[[#This Row],[HR]]</f>
        <v>80</v>
      </c>
      <c r="M62">
        <v>20</v>
      </c>
      <c r="N62">
        <v>1</v>
      </c>
      <c r="O62">
        <v>36</v>
      </c>
      <c r="P62">
        <v>267</v>
      </c>
      <c r="Q62">
        <v>102</v>
      </c>
      <c r="R62">
        <v>2</v>
      </c>
      <c r="S62">
        <v>1</v>
      </c>
      <c r="T62">
        <v>69</v>
      </c>
      <c r="U62">
        <v>4</v>
      </c>
      <c r="V62">
        <v>9</v>
      </c>
      <c r="W62">
        <v>7</v>
      </c>
      <c r="X62">
        <v>9</v>
      </c>
      <c r="Y62">
        <v>80</v>
      </c>
      <c r="Z62">
        <v>6</v>
      </c>
      <c r="AA62">
        <v>0.56399999999999995</v>
      </c>
      <c r="AB62">
        <v>0.38900000000000001</v>
      </c>
      <c r="AC62">
        <v>0.95299999999999996</v>
      </c>
      <c r="AD62">
        <v>35</v>
      </c>
      <c r="AE62">
        <v>0.313</v>
      </c>
      <c r="AF62">
        <v>0.5</v>
      </c>
      <c r="AG62">
        <f>(표1[[#This Row],[TB]]-표1[[#This Row],[H]])/표1[[#This Row],[AB]]</f>
        <v>0.27484143763213531</v>
      </c>
      <c r="AH62">
        <f>(표1[[#This Row],[TB]]-표1[[#This Row],[H]]+표1[[#This Row],[BB]]+표1[[#This Row],[SB]]-표1[[#This Row],[CS]])/표1[[#This Row],[AB]]</f>
        <v>0.42494714587737842</v>
      </c>
      <c r="AI62">
        <f>(표1[[#This Row],[TB]]+표1[[#This Row],[BB]]+표1[[#This Row],[HBP]]+표1[[#This Row],[SB]]-표1[[#This Row],[CS]])/(표1[[#This Row],[AB]]-표1[[#This Row],[H]]+표1[[#This Row],[CS]]+표1[[#This Row],[GDP]])</f>
        <v>0.99426934097421205</v>
      </c>
      <c r="AJ6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106.64433212996391</v>
      </c>
      <c r="AK62">
        <f>표1[[#This Row],[RC]]/((표1[[#This Row],[AB]]-표1[[#This Row],[H]]+표1[[#This Row],[SAC]]+표1[[#This Row],[SF]]+표1[[#This Row],[CS]]+표1[[#This Row],[GDP]])/27)</f>
        <v>8.1801050213324604</v>
      </c>
      <c r="AL6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0.40685036496350363</v>
      </c>
      <c r="AM6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100.17000000000003</v>
      </c>
    </row>
    <row r="63" spans="1:39" x14ac:dyDescent="0.3">
      <c r="A63" t="str">
        <f>_xlfn.CONCAT(표1[[#This Row],[Year]],표1[[#This Row],[Player]])</f>
        <v>2003홍세완</v>
      </c>
      <c r="B63">
        <v>2003</v>
      </c>
      <c r="C63">
        <v>22</v>
      </c>
      <c r="D63" t="s">
        <v>28</v>
      </c>
      <c r="E63" t="s">
        <v>13</v>
      </c>
      <c r="F63">
        <v>0.28999999999999998</v>
      </c>
      <c r="G63">
        <v>129</v>
      </c>
      <c r="H63">
        <v>549</v>
      </c>
      <c r="I63">
        <v>487</v>
      </c>
      <c r="J63">
        <v>75</v>
      </c>
      <c r="K63">
        <v>141</v>
      </c>
      <c r="L63">
        <f>표1[[#This Row],[H]]-표1[[#This Row],[2B]]-표1[[#This Row],[3B]]-표1[[#This Row],[HR]]</f>
        <v>92</v>
      </c>
      <c r="M63">
        <v>26</v>
      </c>
      <c r="N63">
        <v>1</v>
      </c>
      <c r="O63">
        <v>22</v>
      </c>
      <c r="P63">
        <v>235</v>
      </c>
      <c r="Q63">
        <v>100</v>
      </c>
      <c r="R63">
        <v>5</v>
      </c>
      <c r="S63">
        <v>9</v>
      </c>
      <c r="T63">
        <v>45</v>
      </c>
      <c r="U63">
        <v>0</v>
      </c>
      <c r="V63">
        <v>7</v>
      </c>
      <c r="W63">
        <v>7</v>
      </c>
      <c r="X63">
        <v>3</v>
      </c>
      <c r="Y63">
        <v>54</v>
      </c>
      <c r="Z63">
        <v>13</v>
      </c>
      <c r="AA63">
        <v>0.48299999999999998</v>
      </c>
      <c r="AB63">
        <v>0.34699999999999998</v>
      </c>
      <c r="AC63">
        <v>0.83</v>
      </c>
      <c r="AD63">
        <v>39</v>
      </c>
      <c r="AE63">
        <v>0.31</v>
      </c>
      <c r="AF63">
        <v>0</v>
      </c>
      <c r="AG63">
        <f>(표1[[#This Row],[TB]]-표1[[#This Row],[H]])/표1[[#This Row],[AB]]</f>
        <v>0.19301848049281314</v>
      </c>
      <c r="AH63">
        <f>(표1[[#This Row],[TB]]-표1[[#This Row],[H]]+표1[[#This Row],[BB]]+표1[[#This Row],[SB]]-표1[[#This Row],[CS]])/표1[[#This Row],[AB]]</f>
        <v>0.28542094455852157</v>
      </c>
      <c r="AI63">
        <f>(표1[[#This Row],[TB]]+표1[[#This Row],[BB]]+표1[[#This Row],[HBP]]+표1[[#This Row],[SB]]-표1[[#This Row],[CS]])/(표1[[#This Row],[AB]]-표1[[#This Row],[H]]+표1[[#This Row],[CS]]+표1[[#This Row],[GDP]])</f>
        <v>0.77322404371584696</v>
      </c>
      <c r="AJ6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79.543897996357003</v>
      </c>
      <c r="AK63">
        <f>표1[[#This Row],[RC]]/((표1[[#This Row],[AB]]-표1[[#This Row],[H]]+표1[[#This Row],[SAC]]+표1[[#This Row],[SF]]+표1[[#This Row],[CS]]+표1[[#This Row],[GDP]])/27)</f>
        <v>5.6518032786885239</v>
      </c>
      <c r="AL6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0.356875</v>
      </c>
      <c r="AM6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79.928000000000011</v>
      </c>
    </row>
    <row r="64" spans="1:39" x14ac:dyDescent="0.3">
      <c r="A64" t="str">
        <f>_xlfn.CONCAT(표1[[#This Row],[Year]],표1[[#This Row],[Player]])</f>
        <v>2003디아즈</v>
      </c>
      <c r="B64">
        <v>2003</v>
      </c>
      <c r="C64">
        <v>23</v>
      </c>
      <c r="D64" t="s">
        <v>29</v>
      </c>
      <c r="E64" t="s">
        <v>8</v>
      </c>
      <c r="F64">
        <v>0.28499999999999998</v>
      </c>
      <c r="G64">
        <v>112</v>
      </c>
      <c r="H64">
        <v>485</v>
      </c>
      <c r="I64">
        <v>439</v>
      </c>
      <c r="J64">
        <v>56</v>
      </c>
      <c r="K64">
        <v>125</v>
      </c>
      <c r="L64">
        <f>표1[[#This Row],[H]]-표1[[#This Row],[2B]]-표1[[#This Row],[3B]]-표1[[#This Row],[HR]]</f>
        <v>77</v>
      </c>
      <c r="M64">
        <v>26</v>
      </c>
      <c r="N64">
        <v>0</v>
      </c>
      <c r="O64">
        <v>22</v>
      </c>
      <c r="P64">
        <v>217</v>
      </c>
      <c r="Q64">
        <v>63</v>
      </c>
      <c r="R64">
        <v>0</v>
      </c>
      <c r="S64">
        <v>4</v>
      </c>
      <c r="T64">
        <v>32</v>
      </c>
      <c r="U64">
        <v>1</v>
      </c>
      <c r="V64">
        <v>5</v>
      </c>
      <c r="W64">
        <v>0</v>
      </c>
      <c r="X64">
        <v>10</v>
      </c>
      <c r="Y64">
        <v>47</v>
      </c>
      <c r="Z64">
        <v>11</v>
      </c>
      <c r="AA64">
        <v>0.49399999999999999</v>
      </c>
      <c r="AB64">
        <v>0.34399999999999997</v>
      </c>
      <c r="AC64">
        <v>0.83799999999999997</v>
      </c>
      <c r="AD64">
        <v>37</v>
      </c>
      <c r="AE64">
        <v>0.215</v>
      </c>
      <c r="AF64">
        <v>0</v>
      </c>
      <c r="AG64">
        <f>(표1[[#This Row],[TB]]-표1[[#This Row],[H]])/표1[[#This Row],[AB]]</f>
        <v>0.20956719817767655</v>
      </c>
      <c r="AH64">
        <f>(표1[[#This Row],[TB]]-표1[[#This Row],[H]]+표1[[#This Row],[BB]]+표1[[#This Row],[SB]]-표1[[#This Row],[CS]])/표1[[#This Row],[AB]]</f>
        <v>0.29384965831435078</v>
      </c>
      <c r="AI64">
        <f>(표1[[#This Row],[TB]]+표1[[#This Row],[BB]]+표1[[#This Row],[HBP]]+표1[[#This Row],[SB]]-표1[[#This Row],[CS]])/(표1[[#This Row],[AB]]-표1[[#This Row],[H]]+표1[[#This Row],[CS]]+표1[[#This Row],[GDP]])</f>
        <v>0.81230769230769229</v>
      </c>
      <c r="AJ6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74.732041237113407</v>
      </c>
      <c r="AK64">
        <f>표1[[#This Row],[RC]]/((표1[[#This Row],[AB]]-표1[[#This Row],[H]]+표1[[#This Row],[SAC]]+표1[[#This Row],[SF]]+표1[[#This Row],[CS]]+표1[[#This Row],[GDP]])/27)</f>
        <v>6.1330246607965409</v>
      </c>
      <c r="AL6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0.36088223140495862</v>
      </c>
      <c r="AM6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72.764000000000024</v>
      </c>
    </row>
    <row r="65" spans="1:39" x14ac:dyDescent="0.3">
      <c r="A65" t="str">
        <f>_xlfn.CONCAT(표1[[#This Row],[Year]],표1[[#This Row],[Player]])</f>
        <v>2003조경환</v>
      </c>
      <c r="B65">
        <v>2003</v>
      </c>
      <c r="C65">
        <v>24</v>
      </c>
      <c r="D65" t="s">
        <v>30</v>
      </c>
      <c r="E65" t="s">
        <v>8</v>
      </c>
      <c r="F65">
        <v>0.28499999999999998</v>
      </c>
      <c r="G65">
        <v>121</v>
      </c>
      <c r="H65">
        <v>441</v>
      </c>
      <c r="I65">
        <v>376</v>
      </c>
      <c r="J65">
        <v>63</v>
      </c>
      <c r="K65">
        <v>107</v>
      </c>
      <c r="L65">
        <f>표1[[#This Row],[H]]-표1[[#This Row],[2B]]-표1[[#This Row],[3B]]-표1[[#This Row],[HR]]</f>
        <v>63</v>
      </c>
      <c r="M65">
        <v>20</v>
      </c>
      <c r="N65">
        <v>1</v>
      </c>
      <c r="O65">
        <v>23</v>
      </c>
      <c r="P65">
        <v>198</v>
      </c>
      <c r="Q65">
        <v>68</v>
      </c>
      <c r="R65">
        <v>8</v>
      </c>
      <c r="S65">
        <v>1</v>
      </c>
      <c r="T65">
        <v>45</v>
      </c>
      <c r="U65">
        <v>0</v>
      </c>
      <c r="V65">
        <v>2</v>
      </c>
      <c r="W65">
        <v>6</v>
      </c>
      <c r="X65">
        <v>11</v>
      </c>
      <c r="Y65">
        <v>103</v>
      </c>
      <c r="Z65">
        <v>10</v>
      </c>
      <c r="AA65">
        <v>0.52700000000000002</v>
      </c>
      <c r="AB65">
        <v>0.376</v>
      </c>
      <c r="AC65">
        <v>0.90300000000000002</v>
      </c>
      <c r="AD65">
        <v>32</v>
      </c>
      <c r="AE65">
        <v>0.314</v>
      </c>
      <c r="AF65">
        <v>0.2</v>
      </c>
      <c r="AG65">
        <f>(표1[[#This Row],[TB]]-표1[[#This Row],[H]])/표1[[#This Row],[AB]]</f>
        <v>0.24202127659574468</v>
      </c>
      <c r="AH65">
        <f>(표1[[#This Row],[TB]]-표1[[#This Row],[H]]+표1[[#This Row],[BB]]+표1[[#This Row],[SB]]-표1[[#This Row],[CS]])/표1[[#This Row],[AB]]</f>
        <v>0.35106382978723405</v>
      </c>
      <c r="AI65">
        <f>(표1[[#This Row],[TB]]+표1[[#This Row],[BB]]+표1[[#This Row],[HBP]]+표1[[#This Row],[SB]]-표1[[#This Row],[CS]])/(표1[[#This Row],[AB]]-표1[[#This Row],[H]]+표1[[#This Row],[CS]]+표1[[#This Row],[GDP]])</f>
        <v>0.8771929824561403</v>
      </c>
      <c r="AJ6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72.760000000000005</v>
      </c>
      <c r="AK65">
        <f>표1[[#This Row],[RC]]/((표1[[#This Row],[AB]]-표1[[#This Row],[H]]+표1[[#This Row],[SAC]]+표1[[#This Row],[SF]]+표1[[#This Row],[CS]]+표1[[#This Row],[GDP]])/27)</f>
        <v>6.6820408163265306</v>
      </c>
      <c r="AL6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0.38982909930715931</v>
      </c>
      <c r="AM6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69.495999999999995</v>
      </c>
    </row>
    <row r="66" spans="1:39" x14ac:dyDescent="0.3">
      <c r="A66" t="str">
        <f>_xlfn.CONCAT(표1[[#This Row],[Year]],표1[[#This Row],[Player]])</f>
        <v>2003박진만</v>
      </c>
      <c r="B66">
        <v>2003</v>
      </c>
      <c r="C66">
        <v>25</v>
      </c>
      <c r="D66" t="s">
        <v>31</v>
      </c>
      <c r="E66" t="s">
        <v>3</v>
      </c>
      <c r="F66">
        <v>0.28299999999999997</v>
      </c>
      <c r="G66">
        <v>129</v>
      </c>
      <c r="H66">
        <v>515</v>
      </c>
      <c r="I66">
        <v>421</v>
      </c>
      <c r="J66">
        <v>68</v>
      </c>
      <c r="K66">
        <v>119</v>
      </c>
      <c r="L66">
        <f>표1[[#This Row],[H]]-표1[[#This Row],[2B]]-표1[[#This Row],[3B]]-표1[[#This Row],[HR]]</f>
        <v>77</v>
      </c>
      <c r="M66">
        <v>26</v>
      </c>
      <c r="N66">
        <v>0</v>
      </c>
      <c r="O66">
        <v>16</v>
      </c>
      <c r="P66">
        <v>193</v>
      </c>
      <c r="Q66">
        <v>48</v>
      </c>
      <c r="R66">
        <v>22</v>
      </c>
      <c r="S66">
        <v>4</v>
      </c>
      <c r="T66">
        <v>55</v>
      </c>
      <c r="U66">
        <v>0</v>
      </c>
      <c r="V66">
        <v>6</v>
      </c>
      <c r="W66">
        <v>5</v>
      </c>
      <c r="X66">
        <v>13</v>
      </c>
      <c r="Y66">
        <v>66</v>
      </c>
      <c r="Z66">
        <v>14</v>
      </c>
      <c r="AA66">
        <v>0.45800000000000002</v>
      </c>
      <c r="AB66">
        <v>0.379</v>
      </c>
      <c r="AC66">
        <v>0.83699999999999997</v>
      </c>
      <c r="AD66">
        <v>33</v>
      </c>
      <c r="AE66">
        <v>0.23200000000000001</v>
      </c>
      <c r="AF66">
        <v>0</v>
      </c>
      <c r="AG66">
        <f>(표1[[#This Row],[TB]]-표1[[#This Row],[H]])/표1[[#This Row],[AB]]</f>
        <v>0.17577197149643706</v>
      </c>
      <c r="AH66">
        <f>(표1[[#This Row],[TB]]-표1[[#This Row],[H]]+표1[[#This Row],[BB]]+표1[[#This Row],[SB]]-표1[[#This Row],[CS]])/표1[[#This Row],[AB]]</f>
        <v>0.30878859857482183</v>
      </c>
      <c r="AI66">
        <f>(표1[[#This Row],[TB]]+표1[[#This Row],[BB]]+표1[[#This Row],[HBP]]+표1[[#This Row],[SB]]-표1[[#This Row],[CS]])/(표1[[#This Row],[AB]]-표1[[#This Row],[H]]+표1[[#This Row],[CS]]+표1[[#This Row],[GDP]])</f>
        <v>0.81619937694704048</v>
      </c>
      <c r="AJ6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74.154873786407776</v>
      </c>
      <c r="AK66">
        <f>표1[[#This Row],[RC]]/((표1[[#This Row],[AB]]-표1[[#This Row],[H]]+표1[[#This Row],[SAC]]+표1[[#This Row],[SF]]+표1[[#This Row],[CS]]+표1[[#This Row],[GDP]])/27)</f>
        <v>5.7699757701239482</v>
      </c>
      <c r="AL6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0.36727991886409733</v>
      </c>
      <c r="AM6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72.332000000000008</v>
      </c>
    </row>
    <row r="67" spans="1:39" x14ac:dyDescent="0.3">
      <c r="A67" t="str">
        <f>_xlfn.CONCAT(표1[[#This Row],[Year]],표1[[#This Row],[Player]])</f>
        <v>2003조원우</v>
      </c>
      <c r="B67">
        <v>2003</v>
      </c>
      <c r="C67">
        <v>26</v>
      </c>
      <c r="D67" t="s">
        <v>32</v>
      </c>
      <c r="E67" t="s">
        <v>8</v>
      </c>
      <c r="F67">
        <v>0.28100000000000003</v>
      </c>
      <c r="G67">
        <v>128</v>
      </c>
      <c r="H67">
        <v>518</v>
      </c>
      <c r="I67">
        <v>452</v>
      </c>
      <c r="J67">
        <v>65</v>
      </c>
      <c r="K67">
        <v>127</v>
      </c>
      <c r="L67">
        <f>표1[[#This Row],[H]]-표1[[#This Row],[2B]]-표1[[#This Row],[3B]]-표1[[#This Row],[HR]]</f>
        <v>101</v>
      </c>
      <c r="M67">
        <v>18</v>
      </c>
      <c r="N67">
        <v>0</v>
      </c>
      <c r="O67">
        <v>8</v>
      </c>
      <c r="P67">
        <v>169</v>
      </c>
      <c r="Q67">
        <v>48</v>
      </c>
      <c r="R67">
        <v>13</v>
      </c>
      <c r="S67">
        <v>4</v>
      </c>
      <c r="T67">
        <v>35</v>
      </c>
      <c r="U67">
        <v>1</v>
      </c>
      <c r="V67">
        <v>13</v>
      </c>
      <c r="W67">
        <v>5</v>
      </c>
      <c r="X67">
        <v>14</v>
      </c>
      <c r="Y67">
        <v>65</v>
      </c>
      <c r="Z67">
        <v>7</v>
      </c>
      <c r="AA67">
        <v>0.374</v>
      </c>
      <c r="AB67">
        <v>0.34899999999999998</v>
      </c>
      <c r="AC67">
        <v>0.72299999999999998</v>
      </c>
      <c r="AD67">
        <v>39</v>
      </c>
      <c r="AE67">
        <v>0.316</v>
      </c>
      <c r="AF67">
        <v>0.14299999999999999</v>
      </c>
      <c r="AG67">
        <f>(표1[[#This Row],[TB]]-표1[[#This Row],[H]])/표1[[#This Row],[AB]]</f>
        <v>9.2920353982300891E-2</v>
      </c>
      <c r="AH67">
        <f>(표1[[#This Row],[TB]]-표1[[#This Row],[H]]+표1[[#This Row],[BB]]+표1[[#This Row],[SB]]-표1[[#This Row],[CS]])/표1[[#This Row],[AB]]</f>
        <v>0.18805309734513273</v>
      </c>
      <c r="AI67">
        <f>(표1[[#This Row],[TB]]+표1[[#This Row],[BB]]+표1[[#This Row],[HBP]]+표1[[#This Row],[SB]]-표1[[#This Row],[CS]])/(표1[[#This Row],[AB]]-표1[[#This Row],[H]]+표1[[#This Row],[CS]]+표1[[#This Row],[GDP]])</f>
        <v>0.67062314540059342</v>
      </c>
      <c r="AJ6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62.395984555984555</v>
      </c>
      <c r="AK67">
        <f>표1[[#This Row],[RC]]/((표1[[#This Row],[AB]]-표1[[#This Row],[H]]+표1[[#This Row],[SAC]]+표1[[#This Row],[SF]]+표1[[#This Row],[CS]]+표1[[#This Row],[GDP]])/27)</f>
        <v>4.7590157712191612</v>
      </c>
      <c r="AL6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0.32138095238095238</v>
      </c>
      <c r="AM6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61.930000000000021</v>
      </c>
    </row>
    <row r="68" spans="1:39" x14ac:dyDescent="0.3">
      <c r="A68" t="str">
        <f>_xlfn.CONCAT(표1[[#This Row],[Year]],표1[[#This Row],[Player]])</f>
        <v>2003김상훈</v>
      </c>
      <c r="B68">
        <v>2003</v>
      </c>
      <c r="C68">
        <v>27</v>
      </c>
      <c r="D68" t="s">
        <v>33</v>
      </c>
      <c r="E68" t="s">
        <v>13</v>
      </c>
      <c r="F68">
        <v>0.27900000000000003</v>
      </c>
      <c r="G68">
        <v>125</v>
      </c>
      <c r="H68">
        <v>467</v>
      </c>
      <c r="I68">
        <v>423</v>
      </c>
      <c r="J68">
        <v>43</v>
      </c>
      <c r="K68">
        <v>118</v>
      </c>
      <c r="L68">
        <f>표1[[#This Row],[H]]-표1[[#This Row],[2B]]-표1[[#This Row],[3B]]-표1[[#This Row],[HR]]</f>
        <v>87</v>
      </c>
      <c r="M68">
        <v>23</v>
      </c>
      <c r="N68">
        <v>1</v>
      </c>
      <c r="O68">
        <v>7</v>
      </c>
      <c r="P68">
        <v>164</v>
      </c>
      <c r="Q68">
        <v>46</v>
      </c>
      <c r="R68">
        <v>10</v>
      </c>
      <c r="S68">
        <v>1</v>
      </c>
      <c r="T68">
        <v>30</v>
      </c>
      <c r="U68">
        <v>2</v>
      </c>
      <c r="V68">
        <v>3</v>
      </c>
      <c r="W68">
        <v>2</v>
      </c>
      <c r="X68">
        <v>3</v>
      </c>
      <c r="Y68">
        <v>69</v>
      </c>
      <c r="Z68">
        <v>9</v>
      </c>
      <c r="AA68">
        <v>0.38800000000000001</v>
      </c>
      <c r="AB68">
        <v>0.33</v>
      </c>
      <c r="AC68">
        <v>0.71799999999999997</v>
      </c>
      <c r="AD68">
        <v>29</v>
      </c>
      <c r="AE68">
        <v>0.27</v>
      </c>
      <c r="AF68">
        <v>0.33300000000000002</v>
      </c>
      <c r="AG68">
        <f>(표1[[#This Row],[TB]]-표1[[#This Row],[H]])/표1[[#This Row],[AB]]</f>
        <v>0.10874704491725769</v>
      </c>
      <c r="AH68">
        <f>(표1[[#This Row],[TB]]-표1[[#This Row],[H]]+표1[[#This Row],[BB]]+표1[[#This Row],[SB]]-표1[[#This Row],[CS]])/표1[[#This Row],[AB]]</f>
        <v>0.18203309692671396</v>
      </c>
      <c r="AI68">
        <f>(표1[[#This Row],[TB]]+표1[[#This Row],[BB]]+표1[[#This Row],[HBP]]+표1[[#This Row],[SB]]-표1[[#This Row],[CS]])/(표1[[#This Row],[AB]]-표1[[#This Row],[H]]+표1[[#This Row],[CS]]+표1[[#This Row],[GDP]])</f>
        <v>0.62658227848101267</v>
      </c>
      <c r="AJ6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53.763597430406854</v>
      </c>
      <c r="AK68">
        <f>표1[[#This Row],[RC]]/((표1[[#This Row],[AB]]-표1[[#This Row],[H]]+표1[[#This Row],[SAC]]+표1[[#This Row],[SF]]+표1[[#This Row],[CS]]+표1[[#This Row],[GDP]])/27)</f>
        <v>4.4391961181069881</v>
      </c>
      <c r="AL6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0.31501538461538459</v>
      </c>
      <c r="AM6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51.558000000000014</v>
      </c>
    </row>
    <row r="69" spans="1:39" x14ac:dyDescent="0.3">
      <c r="A69" t="str">
        <f>_xlfn.CONCAT(표1[[#This Row],[Year]],표1[[#This Row],[Player]])</f>
        <v>2003홍원기</v>
      </c>
      <c r="B69">
        <v>2003</v>
      </c>
      <c r="C69">
        <v>28</v>
      </c>
      <c r="D69" t="s">
        <v>34</v>
      </c>
      <c r="E69" t="s">
        <v>1</v>
      </c>
      <c r="F69">
        <v>0.27300000000000002</v>
      </c>
      <c r="G69">
        <v>124</v>
      </c>
      <c r="H69">
        <v>453</v>
      </c>
      <c r="I69">
        <v>384</v>
      </c>
      <c r="J69">
        <v>43</v>
      </c>
      <c r="K69">
        <v>105</v>
      </c>
      <c r="L69">
        <f>표1[[#This Row],[H]]-표1[[#This Row],[2B]]-표1[[#This Row],[3B]]-표1[[#This Row],[HR]]</f>
        <v>83</v>
      </c>
      <c r="M69">
        <v>13</v>
      </c>
      <c r="N69">
        <v>1</v>
      </c>
      <c r="O69">
        <v>8</v>
      </c>
      <c r="P69">
        <v>144</v>
      </c>
      <c r="Q69">
        <v>42</v>
      </c>
      <c r="R69">
        <v>9</v>
      </c>
      <c r="S69">
        <v>3</v>
      </c>
      <c r="T69">
        <v>54</v>
      </c>
      <c r="U69">
        <v>2</v>
      </c>
      <c r="V69">
        <v>0</v>
      </c>
      <c r="W69">
        <v>3</v>
      </c>
      <c r="X69">
        <v>3</v>
      </c>
      <c r="Y69">
        <v>65</v>
      </c>
      <c r="Z69">
        <v>7</v>
      </c>
      <c r="AA69">
        <v>0.375</v>
      </c>
      <c r="AB69">
        <v>0.36499999999999999</v>
      </c>
      <c r="AC69">
        <v>0.74</v>
      </c>
      <c r="AD69">
        <v>25</v>
      </c>
      <c r="AE69">
        <v>0.27700000000000002</v>
      </c>
      <c r="AF69">
        <v>0.66700000000000004</v>
      </c>
      <c r="AG69">
        <f>(표1[[#This Row],[TB]]-표1[[#This Row],[H]])/표1[[#This Row],[AB]]</f>
        <v>0.1015625</v>
      </c>
      <c r="AH69">
        <f>(표1[[#This Row],[TB]]-표1[[#This Row],[H]]+표1[[#This Row],[BB]]+표1[[#This Row],[SB]]-표1[[#This Row],[CS]])/표1[[#This Row],[AB]]</f>
        <v>0.234375</v>
      </c>
      <c r="AI69">
        <f>(표1[[#This Row],[TB]]+표1[[#This Row],[BB]]+표1[[#This Row],[HBP]]+표1[[#This Row],[SB]]-표1[[#This Row],[CS]])/(표1[[#This Row],[AB]]-표1[[#This Row],[H]]+표1[[#This Row],[CS]]+표1[[#This Row],[GDP]])</f>
        <v>0.68512110726643594</v>
      </c>
      <c r="AJ6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55.209889624724063</v>
      </c>
      <c r="AK69">
        <f>표1[[#This Row],[RC]]/((표1[[#This Row],[AB]]-표1[[#This Row],[H]]+표1[[#This Row],[SAC]]+표1[[#This Row],[SF]]+표1[[#This Row],[CS]]+표1[[#This Row],[GDP]])/27)</f>
        <v>4.9523821258058129</v>
      </c>
      <c r="AL6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0.33001809954751132</v>
      </c>
      <c r="AM6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54.91</v>
      </c>
    </row>
    <row r="70" spans="1:39" x14ac:dyDescent="0.3">
      <c r="A70" t="str">
        <f>_xlfn.CONCAT(표1[[#This Row],[Year]],표1[[#This Row],[Player]])</f>
        <v>2003마르티네스</v>
      </c>
      <c r="B70">
        <v>2003</v>
      </c>
      <c r="C70">
        <v>29</v>
      </c>
      <c r="D70" t="s">
        <v>35</v>
      </c>
      <c r="E70" t="s">
        <v>36</v>
      </c>
      <c r="F70">
        <v>0.27300000000000002</v>
      </c>
      <c r="G70">
        <v>131</v>
      </c>
      <c r="H70">
        <v>552</v>
      </c>
      <c r="I70">
        <v>483</v>
      </c>
      <c r="J70">
        <v>70</v>
      </c>
      <c r="K70">
        <v>132</v>
      </c>
      <c r="L70">
        <f>표1[[#This Row],[H]]-표1[[#This Row],[2B]]-표1[[#This Row],[3B]]-표1[[#This Row],[HR]]</f>
        <v>84</v>
      </c>
      <c r="M70">
        <v>29</v>
      </c>
      <c r="N70">
        <v>2</v>
      </c>
      <c r="O70">
        <v>17</v>
      </c>
      <c r="P70">
        <v>216</v>
      </c>
      <c r="Q70">
        <v>70</v>
      </c>
      <c r="R70">
        <v>1</v>
      </c>
      <c r="S70">
        <v>7</v>
      </c>
      <c r="T70">
        <v>53</v>
      </c>
      <c r="U70">
        <v>1</v>
      </c>
      <c r="V70">
        <v>27</v>
      </c>
      <c r="W70">
        <v>14</v>
      </c>
      <c r="X70">
        <v>8</v>
      </c>
      <c r="Y70">
        <v>67</v>
      </c>
      <c r="Z70">
        <v>3</v>
      </c>
      <c r="AA70">
        <v>0.44700000000000001</v>
      </c>
      <c r="AB70">
        <v>0.35</v>
      </c>
      <c r="AC70">
        <v>0.79700000000000004</v>
      </c>
      <c r="AD70">
        <v>31</v>
      </c>
      <c r="AE70">
        <v>0.24199999999999999</v>
      </c>
      <c r="AF70">
        <v>0</v>
      </c>
      <c r="AG70">
        <f>(표1[[#This Row],[TB]]-표1[[#This Row],[H]])/표1[[#This Row],[AB]]</f>
        <v>0.17391304347826086</v>
      </c>
      <c r="AH70">
        <f>(표1[[#This Row],[TB]]-표1[[#This Row],[H]]+표1[[#This Row],[BB]]+표1[[#This Row],[SB]]-표1[[#This Row],[CS]])/표1[[#This Row],[AB]]</f>
        <v>0.3105590062111801</v>
      </c>
      <c r="AI70">
        <f>(표1[[#This Row],[TB]]+표1[[#This Row],[BB]]+표1[[#This Row],[HBP]]+표1[[#This Row],[SB]]-표1[[#This Row],[CS]])/(표1[[#This Row],[AB]]-표1[[#This Row],[H]]+표1[[#This Row],[CS]]+표1[[#This Row],[GDP]])</f>
        <v>0.78804347826086951</v>
      </c>
      <c r="AJ7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79.646376811594195</v>
      </c>
      <c r="AK70">
        <f>표1[[#This Row],[RC]]/((표1[[#This Row],[AB]]-표1[[#This Row],[H]]+표1[[#This Row],[SAC]]+표1[[#This Row],[SF]]+표1[[#This Row],[CS]]+표1[[#This Row],[GDP]])/27)</f>
        <v>5.7192876965772426</v>
      </c>
      <c r="AL7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0.34652545454545453</v>
      </c>
      <c r="AM7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79.864000000000004</v>
      </c>
    </row>
    <row r="71" spans="1:39" x14ac:dyDescent="0.3">
      <c r="A71" t="str">
        <f>_xlfn.CONCAT(표1[[#This Row],[Year]],표1[[#This Row],[Player]])</f>
        <v>2003정경배</v>
      </c>
      <c r="B71">
        <v>2003</v>
      </c>
      <c r="C71">
        <v>30</v>
      </c>
      <c r="D71" t="s">
        <v>37</v>
      </c>
      <c r="E71" t="s">
        <v>8</v>
      </c>
      <c r="F71">
        <v>0.27200000000000002</v>
      </c>
      <c r="G71">
        <v>119</v>
      </c>
      <c r="H71">
        <v>425</v>
      </c>
      <c r="I71">
        <v>372</v>
      </c>
      <c r="J71">
        <v>55</v>
      </c>
      <c r="K71">
        <v>101</v>
      </c>
      <c r="L71">
        <f>표1[[#This Row],[H]]-표1[[#This Row],[2B]]-표1[[#This Row],[3B]]-표1[[#This Row],[HR]]</f>
        <v>73</v>
      </c>
      <c r="M71">
        <v>16</v>
      </c>
      <c r="N71">
        <v>0</v>
      </c>
      <c r="O71">
        <v>12</v>
      </c>
      <c r="P71">
        <v>153</v>
      </c>
      <c r="Q71">
        <v>51</v>
      </c>
      <c r="R71">
        <v>12</v>
      </c>
      <c r="S71">
        <v>3</v>
      </c>
      <c r="T71">
        <v>27</v>
      </c>
      <c r="U71">
        <v>0</v>
      </c>
      <c r="V71">
        <v>9</v>
      </c>
      <c r="W71">
        <v>3</v>
      </c>
      <c r="X71">
        <v>11</v>
      </c>
      <c r="Y71">
        <v>56</v>
      </c>
      <c r="Z71">
        <v>3</v>
      </c>
      <c r="AA71">
        <v>0.41099999999999998</v>
      </c>
      <c r="AB71">
        <v>0.33700000000000002</v>
      </c>
      <c r="AC71">
        <v>0.748</v>
      </c>
      <c r="AD71">
        <v>22</v>
      </c>
      <c r="AE71">
        <v>0.27900000000000003</v>
      </c>
      <c r="AF71">
        <v>0</v>
      </c>
      <c r="AG71">
        <f>(표1[[#This Row],[TB]]-표1[[#This Row],[H]])/표1[[#This Row],[AB]]</f>
        <v>0.13978494623655913</v>
      </c>
      <c r="AH71">
        <f>(표1[[#This Row],[TB]]-표1[[#This Row],[H]]+표1[[#This Row],[BB]]+표1[[#This Row],[SB]]-표1[[#This Row],[CS]])/표1[[#This Row],[AB]]</f>
        <v>0.22849462365591397</v>
      </c>
      <c r="AI71">
        <f>(표1[[#This Row],[TB]]+표1[[#This Row],[BB]]+표1[[#This Row],[HBP]]+표1[[#This Row],[SB]]-표1[[#This Row],[CS]])/(표1[[#This Row],[AB]]-표1[[#This Row],[H]]+표1[[#This Row],[CS]]+표1[[#This Row],[GDP]])</f>
        <v>0.71119133574007221</v>
      </c>
      <c r="AJ7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54.87736470588235</v>
      </c>
      <c r="AK71">
        <f>표1[[#This Row],[RC]]/((표1[[#This Row],[AB]]-표1[[#This Row],[H]]+표1[[#This Row],[SAC]]+표1[[#This Row],[SF]]+표1[[#This Row],[CS]]+표1[[#This Row],[GDP]])/27)</f>
        <v>5.0742768734891213</v>
      </c>
      <c r="AL7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0.32915012106537528</v>
      </c>
      <c r="AM7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54.522000000000006</v>
      </c>
    </row>
    <row r="72" spans="1:39" x14ac:dyDescent="0.3">
      <c r="A72" t="str">
        <f>_xlfn.CONCAT(표1[[#This Row],[Year]],표1[[#This Row],[Player]])</f>
        <v>2003전준호</v>
      </c>
      <c r="B72">
        <v>2003</v>
      </c>
      <c r="C72">
        <v>31</v>
      </c>
      <c r="D72" t="s">
        <v>38</v>
      </c>
      <c r="E72" t="s">
        <v>3</v>
      </c>
      <c r="F72">
        <v>0.26900000000000002</v>
      </c>
      <c r="G72">
        <v>129</v>
      </c>
      <c r="H72">
        <v>533</v>
      </c>
      <c r="I72">
        <v>442</v>
      </c>
      <c r="J72">
        <v>79</v>
      </c>
      <c r="K72">
        <v>119</v>
      </c>
      <c r="L72">
        <f>표1[[#This Row],[H]]-표1[[#This Row],[2B]]-표1[[#This Row],[3B]]-표1[[#This Row],[HR]]</f>
        <v>94</v>
      </c>
      <c r="M72">
        <v>16</v>
      </c>
      <c r="N72">
        <v>6</v>
      </c>
      <c r="O72">
        <v>3</v>
      </c>
      <c r="P72">
        <v>156</v>
      </c>
      <c r="Q72">
        <v>38</v>
      </c>
      <c r="R72">
        <v>20</v>
      </c>
      <c r="S72">
        <v>2</v>
      </c>
      <c r="T72">
        <v>58</v>
      </c>
      <c r="U72">
        <v>0</v>
      </c>
      <c r="V72">
        <v>20</v>
      </c>
      <c r="W72">
        <v>9</v>
      </c>
      <c r="X72">
        <v>10</v>
      </c>
      <c r="Y72">
        <v>56</v>
      </c>
      <c r="Z72">
        <v>3</v>
      </c>
      <c r="AA72">
        <v>0.35299999999999998</v>
      </c>
      <c r="AB72">
        <v>0.36499999999999999</v>
      </c>
      <c r="AC72">
        <v>0.71799999999999997</v>
      </c>
      <c r="AD72">
        <v>35</v>
      </c>
      <c r="AE72">
        <v>0.26400000000000001</v>
      </c>
      <c r="AF72">
        <v>0</v>
      </c>
      <c r="AG72">
        <f>(표1[[#This Row],[TB]]-표1[[#This Row],[H]])/표1[[#This Row],[AB]]</f>
        <v>8.3710407239818999E-2</v>
      </c>
      <c r="AH72">
        <f>(표1[[#This Row],[TB]]-표1[[#This Row],[H]]+표1[[#This Row],[BB]]+표1[[#This Row],[SB]]-표1[[#This Row],[CS]])/표1[[#This Row],[AB]]</f>
        <v>0.23981900452488689</v>
      </c>
      <c r="AI72">
        <f>(표1[[#This Row],[TB]]+표1[[#This Row],[BB]]+표1[[#This Row],[HBP]]+표1[[#This Row],[SB]]-표1[[#This Row],[CS]])/(표1[[#This Row],[AB]]-표1[[#This Row],[H]]+표1[[#This Row],[CS]]+표1[[#This Row],[GDP]])</f>
        <v>0.70149253731343286</v>
      </c>
      <c r="AJ7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64.315789473684205</v>
      </c>
      <c r="AK72">
        <f>표1[[#This Row],[RC]]/((표1[[#This Row],[AB]]-표1[[#This Row],[H]]+표1[[#This Row],[SAC]]+표1[[#This Row],[SF]]+표1[[#This Row],[CS]]+표1[[#This Row],[GDP]])/27)</f>
        <v>4.8642193719593099</v>
      </c>
      <c r="AL7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0.32468359375</v>
      </c>
      <c r="AM7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63.831999999999987</v>
      </c>
    </row>
    <row r="73" spans="1:39" x14ac:dyDescent="0.3">
      <c r="A73" t="str">
        <f>_xlfn.CONCAT(표1[[#This Row],[Year]],표1[[#This Row],[Player]])</f>
        <v>2003강동우</v>
      </c>
      <c r="B73">
        <v>2003</v>
      </c>
      <c r="C73">
        <v>32</v>
      </c>
      <c r="D73" t="s">
        <v>39</v>
      </c>
      <c r="E73" t="s">
        <v>6</v>
      </c>
      <c r="F73">
        <v>0.26600000000000001</v>
      </c>
      <c r="G73">
        <v>130</v>
      </c>
      <c r="H73">
        <v>520</v>
      </c>
      <c r="I73">
        <v>443</v>
      </c>
      <c r="J73">
        <v>61</v>
      </c>
      <c r="K73">
        <v>118</v>
      </c>
      <c r="L73">
        <f>표1[[#This Row],[H]]-표1[[#This Row],[2B]]-표1[[#This Row],[3B]]-표1[[#This Row],[HR]]</f>
        <v>86</v>
      </c>
      <c r="M73">
        <v>19</v>
      </c>
      <c r="N73">
        <v>4</v>
      </c>
      <c r="O73">
        <v>9</v>
      </c>
      <c r="P73">
        <v>172</v>
      </c>
      <c r="Q73">
        <v>57</v>
      </c>
      <c r="R73">
        <v>15</v>
      </c>
      <c r="S73">
        <v>4</v>
      </c>
      <c r="T73">
        <v>53</v>
      </c>
      <c r="U73">
        <v>0</v>
      </c>
      <c r="V73">
        <v>8</v>
      </c>
      <c r="W73">
        <v>4</v>
      </c>
      <c r="X73">
        <v>5</v>
      </c>
      <c r="Y73">
        <v>51</v>
      </c>
      <c r="Z73">
        <v>17</v>
      </c>
      <c r="AA73">
        <v>0.38800000000000001</v>
      </c>
      <c r="AB73">
        <v>0.34899999999999998</v>
      </c>
      <c r="AC73">
        <v>0.73699999999999999</v>
      </c>
      <c r="AD73">
        <v>32</v>
      </c>
      <c r="AE73">
        <v>0.32400000000000001</v>
      </c>
      <c r="AF73">
        <v>0.33300000000000002</v>
      </c>
      <c r="AG73">
        <f>(표1[[#This Row],[TB]]-표1[[#This Row],[H]])/표1[[#This Row],[AB]]</f>
        <v>0.12189616252821671</v>
      </c>
      <c r="AH73">
        <f>(표1[[#This Row],[TB]]-표1[[#This Row],[H]]+표1[[#This Row],[BB]]+표1[[#This Row],[SB]]-표1[[#This Row],[CS]])/표1[[#This Row],[AB]]</f>
        <v>0.25056433408577877</v>
      </c>
      <c r="AI73">
        <f>(표1[[#This Row],[TB]]+표1[[#This Row],[BB]]+표1[[#This Row],[HBP]]+표1[[#This Row],[SB]]-표1[[#This Row],[CS]])/(표1[[#This Row],[AB]]-표1[[#This Row],[H]]+표1[[#This Row],[CS]]+표1[[#This Row],[GDP]])</f>
        <v>0.67630057803468213</v>
      </c>
      <c r="AJ7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59.949230769230773</v>
      </c>
      <c r="AK73">
        <f>표1[[#This Row],[RC]]/((표1[[#This Row],[AB]]-표1[[#This Row],[H]]+표1[[#This Row],[SAC]]+표1[[#This Row],[SF]]+표1[[#This Row],[CS]]+표1[[#This Row],[GDP]])/27)</f>
        <v>4.434600632244468</v>
      </c>
      <c r="AL7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0.32679999999999998</v>
      </c>
      <c r="AM7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59.811999999999991</v>
      </c>
    </row>
    <row r="74" spans="1:39" x14ac:dyDescent="0.3">
      <c r="A74" t="str">
        <f>_xlfn.CONCAT(표1[[#This Row],[Year]],표1[[#This Row],[Player]])</f>
        <v>2003이도형</v>
      </c>
      <c r="B74">
        <v>2003</v>
      </c>
      <c r="C74">
        <v>33</v>
      </c>
      <c r="D74" t="s">
        <v>40</v>
      </c>
      <c r="E74" t="s">
        <v>11</v>
      </c>
      <c r="F74">
        <v>0.26600000000000001</v>
      </c>
      <c r="G74">
        <v>125</v>
      </c>
      <c r="H74">
        <v>420</v>
      </c>
      <c r="I74">
        <v>365</v>
      </c>
      <c r="J74">
        <v>40</v>
      </c>
      <c r="K74">
        <v>97</v>
      </c>
      <c r="L74">
        <f>표1[[#This Row],[H]]-표1[[#This Row],[2B]]-표1[[#This Row],[3B]]-표1[[#This Row],[HR]]</f>
        <v>62</v>
      </c>
      <c r="M74">
        <v>19</v>
      </c>
      <c r="N74">
        <v>0</v>
      </c>
      <c r="O74">
        <v>16</v>
      </c>
      <c r="P74">
        <v>164</v>
      </c>
      <c r="Q74">
        <v>58</v>
      </c>
      <c r="R74">
        <v>10</v>
      </c>
      <c r="S74">
        <v>4</v>
      </c>
      <c r="T74">
        <v>37</v>
      </c>
      <c r="U74">
        <v>3</v>
      </c>
      <c r="V74">
        <v>0</v>
      </c>
      <c r="W74">
        <v>1</v>
      </c>
      <c r="X74">
        <v>4</v>
      </c>
      <c r="Y74">
        <v>46</v>
      </c>
      <c r="Z74">
        <v>13</v>
      </c>
      <c r="AA74">
        <v>0.44900000000000001</v>
      </c>
      <c r="AB74">
        <v>0.33700000000000002</v>
      </c>
      <c r="AC74">
        <v>0.78600000000000003</v>
      </c>
      <c r="AD74">
        <v>23</v>
      </c>
      <c r="AE74">
        <v>0.253</v>
      </c>
      <c r="AF74">
        <v>0.222</v>
      </c>
      <c r="AG74">
        <f>(표1[[#This Row],[TB]]-표1[[#This Row],[H]])/표1[[#This Row],[AB]]</f>
        <v>0.18356164383561643</v>
      </c>
      <c r="AH74">
        <f>(표1[[#This Row],[TB]]-표1[[#This Row],[H]]+표1[[#This Row],[BB]]+표1[[#This Row],[SB]]-표1[[#This Row],[CS]])/표1[[#This Row],[AB]]</f>
        <v>0.28219178082191781</v>
      </c>
      <c r="AI74">
        <f>(표1[[#This Row],[TB]]+표1[[#This Row],[BB]]+표1[[#This Row],[HBP]]+표1[[#This Row],[SB]]-표1[[#This Row],[CS]])/(표1[[#This Row],[AB]]-표1[[#This Row],[H]]+표1[[#This Row],[CS]]+표1[[#This Row],[GDP]])</f>
        <v>0.72340425531914898</v>
      </c>
      <c r="AJ7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53.485333333333337</v>
      </c>
      <c r="AK74">
        <f>표1[[#This Row],[RC]]/((표1[[#This Row],[AB]]-표1[[#This Row],[H]]+표1[[#This Row],[SAC]]+표1[[#This Row],[SF]]+표1[[#This Row],[CS]]+표1[[#This Row],[GDP]])/27)</f>
        <v>4.8787297297297298</v>
      </c>
      <c r="AL7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0.33906879606879603</v>
      </c>
      <c r="AM7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53.651999999999994</v>
      </c>
    </row>
    <row r="75" spans="1:39" x14ac:dyDescent="0.3">
      <c r="A75" t="str">
        <f>_xlfn.CONCAT(표1[[#This Row],[Year]],표1[[#This Row],[Player]])</f>
        <v>2003전상렬</v>
      </c>
      <c r="B75">
        <v>2003</v>
      </c>
      <c r="C75">
        <v>34</v>
      </c>
      <c r="D75" t="s">
        <v>41</v>
      </c>
      <c r="E75" t="s">
        <v>1</v>
      </c>
      <c r="F75">
        <v>0.26200000000000001</v>
      </c>
      <c r="G75">
        <v>125</v>
      </c>
      <c r="H75">
        <v>436</v>
      </c>
      <c r="I75">
        <v>386</v>
      </c>
      <c r="J75">
        <v>58</v>
      </c>
      <c r="K75">
        <v>101</v>
      </c>
      <c r="L75">
        <f>표1[[#This Row],[H]]-표1[[#This Row],[2B]]-표1[[#This Row],[3B]]-표1[[#This Row],[HR]]</f>
        <v>81</v>
      </c>
      <c r="M75">
        <v>15</v>
      </c>
      <c r="N75">
        <v>4</v>
      </c>
      <c r="O75">
        <v>1</v>
      </c>
      <c r="P75">
        <v>127</v>
      </c>
      <c r="Q75">
        <v>29</v>
      </c>
      <c r="R75">
        <v>4</v>
      </c>
      <c r="S75">
        <v>2</v>
      </c>
      <c r="T75">
        <v>30</v>
      </c>
      <c r="U75">
        <v>0</v>
      </c>
      <c r="V75">
        <v>7</v>
      </c>
      <c r="W75">
        <v>6</v>
      </c>
      <c r="X75">
        <v>14</v>
      </c>
      <c r="Y75">
        <v>56</v>
      </c>
      <c r="Z75">
        <v>4</v>
      </c>
      <c r="AA75">
        <v>0.32900000000000001</v>
      </c>
      <c r="AB75">
        <v>0.33600000000000002</v>
      </c>
      <c r="AC75">
        <v>0.66500000000000004</v>
      </c>
      <c r="AD75">
        <v>27</v>
      </c>
      <c r="AE75">
        <v>0.245</v>
      </c>
      <c r="AF75">
        <v>0.125</v>
      </c>
      <c r="AG75">
        <f>(표1[[#This Row],[TB]]-표1[[#This Row],[H]])/표1[[#This Row],[AB]]</f>
        <v>6.7357512953367879E-2</v>
      </c>
      <c r="AH75">
        <f>(표1[[#This Row],[TB]]-표1[[#This Row],[H]]+표1[[#This Row],[BB]]+표1[[#This Row],[SB]]-표1[[#This Row],[CS]])/표1[[#This Row],[AB]]</f>
        <v>0.14766839378238342</v>
      </c>
      <c r="AI75">
        <f>(표1[[#This Row],[TB]]+표1[[#This Row],[BB]]+표1[[#This Row],[HBP]]+표1[[#This Row],[SB]]-표1[[#This Row],[CS]])/(표1[[#This Row],[AB]]-표1[[#This Row],[H]]+표1[[#This Row],[CS]]+표1[[#This Row],[GDP]])</f>
        <v>0.58305084745762714</v>
      </c>
      <c r="AJ7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44.958715596330272</v>
      </c>
      <c r="AK75">
        <f>표1[[#This Row],[RC]]/((표1[[#This Row],[AB]]-표1[[#This Row],[H]]+표1[[#This Row],[SAC]]+표1[[#This Row],[SF]]+표1[[#This Row],[CS]]+표1[[#This Row],[GDP]])/27)</f>
        <v>4.0328415983419177</v>
      </c>
      <c r="AL7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0.30029398148148151</v>
      </c>
      <c r="AM7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44.521999999999998</v>
      </c>
    </row>
    <row r="76" spans="1:39" x14ac:dyDescent="0.3">
      <c r="A76" t="str">
        <f>_xlfn.CONCAT(표1[[#This Row],[Year]],표1[[#This Row],[Player]])</f>
        <v>2003박용택</v>
      </c>
      <c r="B76">
        <v>2003</v>
      </c>
      <c r="C76">
        <v>35</v>
      </c>
      <c r="D76" t="s">
        <v>42</v>
      </c>
      <c r="E76" t="s">
        <v>36</v>
      </c>
      <c r="F76">
        <v>0.25700000000000001</v>
      </c>
      <c r="G76">
        <v>133</v>
      </c>
      <c r="H76">
        <v>555</v>
      </c>
      <c r="I76">
        <v>494</v>
      </c>
      <c r="J76">
        <v>68</v>
      </c>
      <c r="K76">
        <v>127</v>
      </c>
      <c r="L76">
        <f>표1[[#This Row],[H]]-표1[[#This Row],[2B]]-표1[[#This Row],[3B]]-표1[[#This Row],[HR]]</f>
        <v>89</v>
      </c>
      <c r="M76">
        <v>21</v>
      </c>
      <c r="N76">
        <v>6</v>
      </c>
      <c r="O76">
        <v>11</v>
      </c>
      <c r="P76">
        <v>193</v>
      </c>
      <c r="Q76">
        <v>51</v>
      </c>
      <c r="R76">
        <v>6</v>
      </c>
      <c r="S76">
        <v>5</v>
      </c>
      <c r="T76">
        <v>40</v>
      </c>
      <c r="U76">
        <v>2</v>
      </c>
      <c r="V76">
        <v>42</v>
      </c>
      <c r="W76">
        <v>12</v>
      </c>
      <c r="X76">
        <v>9</v>
      </c>
      <c r="Y76">
        <v>83</v>
      </c>
      <c r="Z76">
        <v>7</v>
      </c>
      <c r="AA76">
        <v>0.39100000000000001</v>
      </c>
      <c r="AB76">
        <v>0.32100000000000001</v>
      </c>
      <c r="AC76">
        <v>0.71199999999999997</v>
      </c>
      <c r="AD76">
        <v>31</v>
      </c>
      <c r="AE76">
        <v>0.26800000000000002</v>
      </c>
      <c r="AF76">
        <v>0.25</v>
      </c>
      <c r="AG76">
        <f>(표1[[#This Row],[TB]]-표1[[#This Row],[H]])/표1[[#This Row],[AB]]</f>
        <v>0.13360323886639677</v>
      </c>
      <c r="AH76">
        <f>(표1[[#This Row],[TB]]-표1[[#This Row],[H]]+표1[[#This Row],[BB]]+표1[[#This Row],[SB]]-표1[[#This Row],[CS]])/표1[[#This Row],[AB]]</f>
        <v>0.27530364372469635</v>
      </c>
      <c r="AI76">
        <f>(표1[[#This Row],[TB]]+표1[[#This Row],[BB]]+표1[[#This Row],[HBP]]+표1[[#This Row],[SB]]-표1[[#This Row],[CS]])/(표1[[#This Row],[AB]]-표1[[#This Row],[H]]+표1[[#This Row],[CS]]+표1[[#This Row],[GDP]])</f>
        <v>0.70466321243523311</v>
      </c>
      <c r="AJ7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65.9683393501805</v>
      </c>
      <c r="AK76">
        <f>표1[[#This Row],[RC]]/((표1[[#This Row],[AB]]-표1[[#This Row],[H]]+표1[[#This Row],[SAC]]+표1[[#This Row],[SF]]+표1[[#This Row],[CS]]+표1[[#This Row],[GDP]])/27)</f>
        <v>4.4865117442188245</v>
      </c>
      <c r="AL7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0.31140109890109891</v>
      </c>
      <c r="AM7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67.705999999999989</v>
      </c>
    </row>
    <row r="77" spans="1:39" x14ac:dyDescent="0.3">
      <c r="A77" t="str">
        <f>_xlfn.CONCAT(표1[[#This Row],[Year]],표1[[#This Row],[Player]])</f>
        <v>2003조인성</v>
      </c>
      <c r="B77">
        <v>2003</v>
      </c>
      <c r="C77">
        <v>36</v>
      </c>
      <c r="D77" t="s">
        <v>43</v>
      </c>
      <c r="E77" t="s">
        <v>36</v>
      </c>
      <c r="F77">
        <v>0.25700000000000001</v>
      </c>
      <c r="G77">
        <v>132</v>
      </c>
      <c r="H77">
        <v>456</v>
      </c>
      <c r="I77">
        <v>428</v>
      </c>
      <c r="J77">
        <v>43</v>
      </c>
      <c r="K77">
        <v>110</v>
      </c>
      <c r="L77">
        <f>표1[[#This Row],[H]]-표1[[#This Row],[2B]]-표1[[#This Row],[3B]]-표1[[#This Row],[HR]]</f>
        <v>69</v>
      </c>
      <c r="M77">
        <v>20</v>
      </c>
      <c r="N77">
        <v>2</v>
      </c>
      <c r="O77">
        <v>19</v>
      </c>
      <c r="P77">
        <v>191</v>
      </c>
      <c r="Q77">
        <v>58</v>
      </c>
      <c r="R77">
        <v>1</v>
      </c>
      <c r="S77">
        <v>4</v>
      </c>
      <c r="T77">
        <v>15</v>
      </c>
      <c r="U77">
        <v>0</v>
      </c>
      <c r="V77">
        <v>0</v>
      </c>
      <c r="W77">
        <v>1</v>
      </c>
      <c r="X77">
        <v>8</v>
      </c>
      <c r="Y77">
        <v>67</v>
      </c>
      <c r="Z77">
        <v>17</v>
      </c>
      <c r="AA77">
        <v>0.44600000000000001</v>
      </c>
      <c r="AB77">
        <v>0.29199999999999998</v>
      </c>
      <c r="AC77">
        <v>0.73799999999999999</v>
      </c>
      <c r="AD77">
        <v>26</v>
      </c>
      <c r="AE77">
        <v>0.25700000000000001</v>
      </c>
      <c r="AF77">
        <v>0</v>
      </c>
      <c r="AG77">
        <f>(표1[[#This Row],[TB]]-표1[[#This Row],[H]])/표1[[#This Row],[AB]]</f>
        <v>0.18925233644859812</v>
      </c>
      <c r="AH77">
        <f>(표1[[#This Row],[TB]]-표1[[#This Row],[H]]+표1[[#This Row],[BB]]+표1[[#This Row],[SB]]-표1[[#This Row],[CS]])/표1[[#This Row],[AB]]</f>
        <v>0.2219626168224299</v>
      </c>
      <c r="AI77">
        <f>(표1[[#This Row],[TB]]+표1[[#This Row],[BB]]+표1[[#This Row],[HBP]]+표1[[#This Row],[SB]]-표1[[#This Row],[CS]])/(표1[[#This Row],[AB]]-표1[[#This Row],[H]]+표1[[#This Row],[CS]]+표1[[#This Row],[GDP]])</f>
        <v>0.6339285714285714</v>
      </c>
      <c r="AJ7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50.332675438596482</v>
      </c>
      <c r="AK77">
        <f>표1[[#This Row],[RC]]/((표1[[#This Row],[AB]]-표1[[#This Row],[H]]+표1[[#This Row],[SAC]]+표1[[#This Row],[SF]]+표1[[#This Row],[CS]]+표1[[#This Row],[GDP]])/27)</f>
        <v>3.9852851520296335</v>
      </c>
      <c r="AL7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0.31772527472527473</v>
      </c>
      <c r="AM7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51.913999999999994</v>
      </c>
    </row>
    <row r="78" spans="1:39" x14ac:dyDescent="0.3">
      <c r="A78" t="str">
        <f>_xlfn.CONCAT(표1[[#This Row],[Year]],표1[[#This Row],[Player]])</f>
        <v>2003브리또</v>
      </c>
      <c r="B78">
        <v>2003</v>
      </c>
      <c r="C78">
        <v>37</v>
      </c>
      <c r="D78" t="s">
        <v>44</v>
      </c>
      <c r="E78" t="s">
        <v>6</v>
      </c>
      <c r="F78">
        <v>0.255</v>
      </c>
      <c r="G78">
        <v>102</v>
      </c>
      <c r="H78">
        <v>433</v>
      </c>
      <c r="I78">
        <v>380</v>
      </c>
      <c r="J78">
        <v>59</v>
      </c>
      <c r="K78">
        <v>97</v>
      </c>
      <c r="L78">
        <f>표1[[#This Row],[H]]-표1[[#This Row],[2B]]-표1[[#This Row],[3B]]-표1[[#This Row],[HR]]</f>
        <v>59</v>
      </c>
      <c r="M78">
        <v>17</v>
      </c>
      <c r="N78">
        <v>1</v>
      </c>
      <c r="O78">
        <v>20</v>
      </c>
      <c r="P78">
        <v>176</v>
      </c>
      <c r="Q78">
        <v>58</v>
      </c>
      <c r="R78">
        <v>9</v>
      </c>
      <c r="S78">
        <v>3</v>
      </c>
      <c r="T78">
        <v>31</v>
      </c>
      <c r="U78">
        <v>0</v>
      </c>
      <c r="V78">
        <v>2</v>
      </c>
      <c r="W78">
        <v>2</v>
      </c>
      <c r="X78">
        <v>10</v>
      </c>
      <c r="Y78">
        <v>58</v>
      </c>
      <c r="Z78">
        <v>8</v>
      </c>
      <c r="AA78">
        <v>0.46300000000000002</v>
      </c>
      <c r="AB78">
        <v>0.32500000000000001</v>
      </c>
      <c r="AC78">
        <v>0.78800000000000003</v>
      </c>
      <c r="AD78">
        <v>23</v>
      </c>
      <c r="AE78">
        <v>0.25</v>
      </c>
      <c r="AF78">
        <v>0</v>
      </c>
      <c r="AG78">
        <f>(표1[[#This Row],[TB]]-표1[[#This Row],[H]])/표1[[#This Row],[AB]]</f>
        <v>0.20789473684210527</v>
      </c>
      <c r="AH78">
        <f>(표1[[#This Row],[TB]]-표1[[#This Row],[H]]+표1[[#This Row],[BB]]+표1[[#This Row],[SB]]-표1[[#This Row],[CS]])/표1[[#This Row],[AB]]</f>
        <v>0.28947368421052633</v>
      </c>
      <c r="AI78">
        <f>(표1[[#This Row],[TB]]+표1[[#This Row],[BB]]+표1[[#This Row],[HBP]]+표1[[#This Row],[SB]]-표1[[#This Row],[CS]])/(표1[[#This Row],[AB]]-표1[[#This Row],[H]]+표1[[#This Row],[CS]]+표1[[#This Row],[GDP]])</f>
        <v>0.74061433447098979</v>
      </c>
      <c r="AJ7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57.330993071593532</v>
      </c>
      <c r="AK78">
        <f>표1[[#This Row],[RC]]/((표1[[#This Row],[AB]]-표1[[#This Row],[H]]+표1[[#This Row],[SAC]]+표1[[#This Row],[SF]]+표1[[#This Row],[CS]]+표1[[#This Row],[GDP]])/27)</f>
        <v>5.0752026653541815</v>
      </c>
      <c r="AL7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0.3417900943396226</v>
      </c>
      <c r="AM7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57.815999999999995</v>
      </c>
    </row>
    <row r="79" spans="1:39" x14ac:dyDescent="0.3">
      <c r="A79" t="str">
        <f>_xlfn.CONCAT(표1[[#This Row],[Year]],표1[[#This Row],[Player]])</f>
        <v>2003김종국</v>
      </c>
      <c r="B79">
        <v>2003</v>
      </c>
      <c r="C79">
        <v>38</v>
      </c>
      <c r="D79" t="s">
        <v>45</v>
      </c>
      <c r="E79" t="s">
        <v>13</v>
      </c>
      <c r="F79">
        <v>0.25</v>
      </c>
      <c r="G79">
        <v>125</v>
      </c>
      <c r="H79">
        <v>539</v>
      </c>
      <c r="I79">
        <v>464</v>
      </c>
      <c r="J79">
        <v>67</v>
      </c>
      <c r="K79">
        <v>116</v>
      </c>
      <c r="L79">
        <f>표1[[#This Row],[H]]-표1[[#This Row],[2B]]-표1[[#This Row],[3B]]-표1[[#This Row],[HR]]</f>
        <v>86</v>
      </c>
      <c r="M79">
        <v>23</v>
      </c>
      <c r="N79">
        <v>1</v>
      </c>
      <c r="O79">
        <v>6</v>
      </c>
      <c r="P79">
        <v>159</v>
      </c>
      <c r="Q79">
        <v>46</v>
      </c>
      <c r="R79">
        <v>14</v>
      </c>
      <c r="S79">
        <v>3</v>
      </c>
      <c r="T79">
        <v>53</v>
      </c>
      <c r="U79">
        <v>0</v>
      </c>
      <c r="V79">
        <v>31</v>
      </c>
      <c r="W79">
        <v>11</v>
      </c>
      <c r="X79">
        <v>4</v>
      </c>
      <c r="Y79">
        <v>67</v>
      </c>
      <c r="Z79">
        <v>3</v>
      </c>
      <c r="AA79">
        <v>0.34300000000000003</v>
      </c>
      <c r="AB79">
        <v>0.33</v>
      </c>
      <c r="AC79">
        <v>0.67300000000000004</v>
      </c>
      <c r="AD79">
        <v>27</v>
      </c>
      <c r="AE79">
        <v>0.23799999999999999</v>
      </c>
      <c r="AF79">
        <v>0</v>
      </c>
      <c r="AG79">
        <f>(표1[[#This Row],[TB]]-표1[[#This Row],[H]])/표1[[#This Row],[AB]]</f>
        <v>9.2672413793103453E-2</v>
      </c>
      <c r="AH79">
        <f>(표1[[#This Row],[TB]]-표1[[#This Row],[H]]+표1[[#This Row],[BB]]+표1[[#This Row],[SB]]-표1[[#This Row],[CS]])/표1[[#This Row],[AB]]</f>
        <v>0.25</v>
      </c>
      <c r="AI79">
        <f>(표1[[#This Row],[TB]]+표1[[#This Row],[BB]]+표1[[#This Row],[HBP]]+표1[[#This Row],[SB]]-표1[[#This Row],[CS]])/(표1[[#This Row],[AB]]-표1[[#This Row],[H]]+표1[[#This Row],[CS]]+표1[[#This Row],[GDP]])</f>
        <v>0.65193370165745856</v>
      </c>
      <c r="AJ7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58.747249070631973</v>
      </c>
      <c r="AK79">
        <f>표1[[#This Row],[RC]]/((표1[[#This Row],[AB]]-표1[[#This Row],[H]]+표1[[#This Row],[SAC]]+표1[[#This Row],[SF]]+표1[[#This Row],[CS]]+표1[[#This Row],[GDP]])/27)</f>
        <v>4.1851602240291905</v>
      </c>
      <c r="AL7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0.30226526717557251</v>
      </c>
      <c r="AM7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59.384000000000029</v>
      </c>
    </row>
    <row r="80" spans="1:39" x14ac:dyDescent="0.3">
      <c r="A80" t="str">
        <f>_xlfn.CONCAT(표1[[#This Row],[Year]],표1[[#This Row],[Player]])</f>
        <v>2003박경완</v>
      </c>
      <c r="B80">
        <v>2003</v>
      </c>
      <c r="C80">
        <v>38</v>
      </c>
      <c r="D80" t="s">
        <v>46</v>
      </c>
      <c r="E80" t="s">
        <v>8</v>
      </c>
      <c r="F80">
        <v>0.25</v>
      </c>
      <c r="G80">
        <v>122</v>
      </c>
      <c r="H80">
        <v>428</v>
      </c>
      <c r="I80">
        <v>336</v>
      </c>
      <c r="J80">
        <v>49</v>
      </c>
      <c r="K80">
        <v>84</v>
      </c>
      <c r="L80">
        <f>표1[[#This Row],[H]]-표1[[#This Row],[2B]]-표1[[#This Row],[3B]]-표1[[#This Row],[HR]]</f>
        <v>51</v>
      </c>
      <c r="M80">
        <v>16</v>
      </c>
      <c r="N80">
        <v>2</v>
      </c>
      <c r="O80">
        <v>15</v>
      </c>
      <c r="P80">
        <v>149</v>
      </c>
      <c r="Q80">
        <v>60</v>
      </c>
      <c r="R80">
        <v>21</v>
      </c>
      <c r="S80">
        <v>3</v>
      </c>
      <c r="T80">
        <v>59</v>
      </c>
      <c r="U80">
        <v>2</v>
      </c>
      <c r="V80">
        <v>6</v>
      </c>
      <c r="W80">
        <v>6</v>
      </c>
      <c r="X80">
        <v>9</v>
      </c>
      <c r="Y80">
        <v>93</v>
      </c>
      <c r="Z80">
        <v>8</v>
      </c>
      <c r="AA80">
        <v>0.443</v>
      </c>
      <c r="AB80">
        <v>0.373</v>
      </c>
      <c r="AC80">
        <v>0.81599999999999995</v>
      </c>
      <c r="AD80">
        <v>19</v>
      </c>
      <c r="AE80">
        <v>0.26500000000000001</v>
      </c>
      <c r="AF80">
        <v>0</v>
      </c>
      <c r="AG80">
        <f>(표1[[#This Row],[TB]]-표1[[#This Row],[H]])/표1[[#This Row],[AB]]</f>
        <v>0.19345238095238096</v>
      </c>
      <c r="AH80">
        <f>(표1[[#This Row],[TB]]-표1[[#This Row],[H]]+표1[[#This Row],[BB]]+표1[[#This Row],[SB]]-표1[[#This Row],[CS]])/표1[[#This Row],[AB]]</f>
        <v>0.36904761904761907</v>
      </c>
      <c r="AI80">
        <f>(표1[[#This Row],[TB]]+표1[[#This Row],[BB]]+표1[[#This Row],[HBP]]+표1[[#This Row],[SB]]-표1[[#This Row],[CS]])/(표1[[#This Row],[AB]]-표1[[#This Row],[H]]+표1[[#This Row],[CS]]+표1[[#This Row],[GDP]])</f>
        <v>0.81578947368421051</v>
      </c>
      <c r="AJ8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58.604859813084104</v>
      </c>
      <c r="AK80">
        <f>표1[[#This Row],[RC]]/((표1[[#This Row],[AB]]-표1[[#This Row],[H]]+표1[[#This Row],[SAC]]+표1[[#This Row],[SF]]+표1[[#This Row],[CS]]+표1[[#This Row],[GDP]])/27)</f>
        <v>5.4563145343216233</v>
      </c>
      <c r="AL8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0.35836296296296294</v>
      </c>
      <c r="AM8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58.365999999999978</v>
      </c>
    </row>
    <row r="81" spans="1:39" x14ac:dyDescent="0.3">
      <c r="A81" t="str">
        <f>_xlfn.CONCAT(표1[[#This Row],[Year]],표1[[#This Row],[Player]])</f>
        <v>2003김민재</v>
      </c>
      <c r="B81">
        <v>2003</v>
      </c>
      <c r="C81">
        <v>40</v>
      </c>
      <c r="D81" t="s">
        <v>47</v>
      </c>
      <c r="E81" t="s">
        <v>8</v>
      </c>
      <c r="F81">
        <v>0.21099999999999999</v>
      </c>
      <c r="G81">
        <v>129</v>
      </c>
      <c r="H81">
        <v>452</v>
      </c>
      <c r="I81">
        <v>369</v>
      </c>
      <c r="J81">
        <v>43</v>
      </c>
      <c r="K81">
        <v>78</v>
      </c>
      <c r="L81">
        <f>표1[[#This Row],[H]]-표1[[#This Row],[2B]]-표1[[#This Row],[3B]]-표1[[#This Row],[HR]]</f>
        <v>57</v>
      </c>
      <c r="M81">
        <v>16</v>
      </c>
      <c r="N81">
        <v>1</v>
      </c>
      <c r="O81">
        <v>4</v>
      </c>
      <c r="P81">
        <v>108</v>
      </c>
      <c r="Q81">
        <v>36</v>
      </c>
      <c r="R81">
        <v>30</v>
      </c>
      <c r="S81">
        <v>5</v>
      </c>
      <c r="T81">
        <v>44</v>
      </c>
      <c r="U81">
        <v>0</v>
      </c>
      <c r="V81">
        <v>14</v>
      </c>
      <c r="W81">
        <v>7</v>
      </c>
      <c r="X81">
        <v>4</v>
      </c>
      <c r="Y81">
        <v>42</v>
      </c>
      <c r="Z81">
        <v>13</v>
      </c>
      <c r="AA81">
        <v>0.29299999999999998</v>
      </c>
      <c r="AB81">
        <v>0.29899999999999999</v>
      </c>
      <c r="AC81">
        <v>0.59199999999999997</v>
      </c>
      <c r="AD81">
        <v>16</v>
      </c>
      <c r="AE81">
        <v>0.24199999999999999</v>
      </c>
      <c r="AF81">
        <v>0</v>
      </c>
      <c r="AG81">
        <f>(표1[[#This Row],[TB]]-표1[[#This Row],[H]])/표1[[#This Row],[AB]]</f>
        <v>8.1300813008130079E-2</v>
      </c>
      <c r="AH81">
        <f>(표1[[#This Row],[TB]]-표1[[#This Row],[H]]+표1[[#This Row],[BB]]+표1[[#This Row],[SB]]-표1[[#This Row],[CS]])/표1[[#This Row],[AB]]</f>
        <v>0.21951219512195122</v>
      </c>
      <c r="AI81">
        <f>(표1[[#This Row],[TB]]+표1[[#This Row],[BB]]+표1[[#This Row],[HBP]]+표1[[#This Row],[SB]]-표1[[#This Row],[CS]])/(표1[[#This Row],[AB]]-표1[[#This Row],[H]]+표1[[#This Row],[CS]]+표1[[#This Row],[GDP]])</f>
        <v>0.52411575562700963</v>
      </c>
      <c r="AJ8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34.229557522123898</v>
      </c>
      <c r="AK81">
        <f>표1[[#This Row],[RC]]/((표1[[#This Row],[AB]]-표1[[#This Row],[H]]+표1[[#This Row],[SAC]]+표1[[#This Row],[SF]]+표1[[#This Row],[CS]]+표1[[#This Row],[GDP]])/27)</f>
        <v>2.6710926390096681</v>
      </c>
      <c r="AL8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0.26923459715639808</v>
      </c>
      <c r="AM8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35.134</v>
      </c>
    </row>
    <row r="82" spans="1:39" x14ac:dyDescent="0.3">
      <c r="A82" t="str">
        <f>_xlfn.CONCAT(표1[[#This Row],[Year]],표1[[#This Row],[Player]])</f>
        <v>2004브룸바</v>
      </c>
      <c r="B82">
        <v>2004</v>
      </c>
      <c r="C82">
        <v>1</v>
      </c>
      <c r="D82" t="s">
        <v>48</v>
      </c>
      <c r="E82" t="s">
        <v>3</v>
      </c>
      <c r="F82">
        <v>0.34300000000000003</v>
      </c>
      <c r="G82">
        <v>132</v>
      </c>
      <c r="H82">
        <v>594</v>
      </c>
      <c r="I82">
        <v>475</v>
      </c>
      <c r="J82">
        <v>92</v>
      </c>
      <c r="K82">
        <v>163</v>
      </c>
      <c r="L82">
        <f>표1[[#This Row],[H]]-표1[[#This Row],[2B]]-표1[[#This Row],[3B]]-표1[[#This Row],[HR]]</f>
        <v>104</v>
      </c>
      <c r="M82">
        <v>25</v>
      </c>
      <c r="N82">
        <v>1</v>
      </c>
      <c r="O82">
        <v>33</v>
      </c>
      <c r="P82">
        <v>289</v>
      </c>
      <c r="Q82">
        <v>105</v>
      </c>
      <c r="R82">
        <v>0</v>
      </c>
      <c r="S82">
        <v>4</v>
      </c>
      <c r="T82">
        <v>114</v>
      </c>
      <c r="U82">
        <v>10</v>
      </c>
      <c r="V82">
        <v>7</v>
      </c>
      <c r="W82">
        <v>8</v>
      </c>
      <c r="X82">
        <v>1</v>
      </c>
      <c r="Y82">
        <v>79</v>
      </c>
      <c r="Z82">
        <v>10</v>
      </c>
      <c r="AA82">
        <v>0.60799999999999998</v>
      </c>
      <c r="AB82">
        <v>0.46800000000000003</v>
      </c>
      <c r="AC82">
        <v>1.0760000000000001</v>
      </c>
      <c r="AD82">
        <v>49</v>
      </c>
      <c r="AE82">
        <v>0.36299999999999999</v>
      </c>
      <c r="AF82">
        <v>0</v>
      </c>
      <c r="AG82">
        <f>(표1[[#This Row],[TB]]-표1[[#This Row],[H]])/표1[[#This Row],[AB]]</f>
        <v>0.26526315789473687</v>
      </c>
      <c r="AH82">
        <f>(표1[[#This Row],[TB]]-표1[[#This Row],[H]]+표1[[#This Row],[BB]]+표1[[#This Row],[SB]]-표1[[#This Row],[CS]])/표1[[#This Row],[AB]]</f>
        <v>0.50315789473684214</v>
      </c>
      <c r="AI82">
        <f>(표1[[#This Row],[TB]]+표1[[#This Row],[BB]]+표1[[#This Row],[HBP]]+표1[[#This Row],[SB]]-표1[[#This Row],[CS]])/(표1[[#This Row],[AB]]-표1[[#This Row],[H]]+표1[[#This Row],[CS]]+표1[[#This Row],[GDP]])</f>
        <v>1.2212121212121212</v>
      </c>
      <c r="AJ8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140.95151515151517</v>
      </c>
      <c r="AK82">
        <f>표1[[#This Row],[RC]]/((표1[[#This Row],[AB]]-표1[[#This Row],[H]]+표1[[#This Row],[SAC]]+표1[[#This Row],[SF]]+표1[[#This Row],[CS]]+표1[[#This Row],[GDP]])/27)</f>
        <v>11.39428415895482</v>
      </c>
      <c r="AL8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0.45454452054794514</v>
      </c>
      <c r="AM8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124.52799999999998</v>
      </c>
    </row>
    <row r="83" spans="1:39" x14ac:dyDescent="0.3">
      <c r="A83" t="str">
        <f>_xlfn.CONCAT(표1[[#This Row],[Year]],표1[[#This Row],[Player]])</f>
        <v>2004이진영</v>
      </c>
      <c r="B83">
        <v>2004</v>
      </c>
      <c r="C83">
        <v>2</v>
      </c>
      <c r="D83" t="s">
        <v>7</v>
      </c>
      <c r="E83" t="s">
        <v>8</v>
      </c>
      <c r="F83">
        <v>0.34200000000000003</v>
      </c>
      <c r="G83">
        <v>117</v>
      </c>
      <c r="H83">
        <v>483</v>
      </c>
      <c r="I83">
        <v>404</v>
      </c>
      <c r="J83">
        <v>74</v>
      </c>
      <c r="K83">
        <v>138</v>
      </c>
      <c r="L83">
        <f>표1[[#This Row],[H]]-표1[[#This Row],[2B]]-표1[[#This Row],[3B]]-표1[[#This Row],[HR]]</f>
        <v>103</v>
      </c>
      <c r="M83">
        <v>19</v>
      </c>
      <c r="N83">
        <v>1</v>
      </c>
      <c r="O83">
        <v>15</v>
      </c>
      <c r="P83">
        <v>204</v>
      </c>
      <c r="Q83">
        <v>63</v>
      </c>
      <c r="R83">
        <v>6</v>
      </c>
      <c r="S83">
        <v>2</v>
      </c>
      <c r="T83">
        <v>66</v>
      </c>
      <c r="U83">
        <v>6</v>
      </c>
      <c r="V83">
        <v>8</v>
      </c>
      <c r="W83">
        <v>6</v>
      </c>
      <c r="X83">
        <v>5</v>
      </c>
      <c r="Y83">
        <v>49</v>
      </c>
      <c r="Z83">
        <v>9</v>
      </c>
      <c r="AA83">
        <v>0.505</v>
      </c>
      <c r="AB83">
        <v>0.438</v>
      </c>
      <c r="AC83">
        <v>0.94299999999999995</v>
      </c>
      <c r="AD83">
        <v>37</v>
      </c>
      <c r="AE83">
        <v>0.33300000000000002</v>
      </c>
      <c r="AF83">
        <v>0.25</v>
      </c>
      <c r="AG83">
        <f>(표1[[#This Row],[TB]]-표1[[#This Row],[H]])/표1[[#This Row],[AB]]</f>
        <v>0.16336633663366337</v>
      </c>
      <c r="AH83">
        <f>(표1[[#This Row],[TB]]-표1[[#This Row],[H]]+표1[[#This Row],[BB]]+표1[[#This Row],[SB]]-표1[[#This Row],[CS]])/표1[[#This Row],[AB]]</f>
        <v>0.3316831683168317</v>
      </c>
      <c r="AI83">
        <f>(표1[[#This Row],[TB]]+표1[[#This Row],[BB]]+표1[[#This Row],[HBP]]+표1[[#This Row],[SB]]-표1[[#This Row],[CS]])/(표1[[#This Row],[AB]]-표1[[#This Row],[H]]+표1[[#This Row],[CS]]+표1[[#This Row],[GDP]])</f>
        <v>0.98576512455516019</v>
      </c>
      <c r="AJ8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92.067660455486546</v>
      </c>
      <c r="AK83">
        <f>표1[[#This Row],[RC]]/((표1[[#This Row],[AB]]-표1[[#This Row],[H]]+표1[[#This Row],[SAC]]+표1[[#This Row],[SF]]+표1[[#This Row],[CS]]+표1[[#This Row],[GDP]])/27)</f>
        <v>8.601476928367255</v>
      </c>
      <c r="AL8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0.40863694267515926</v>
      </c>
      <c r="AM8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84.257999999999981</v>
      </c>
    </row>
    <row r="84" spans="1:39" x14ac:dyDescent="0.3">
      <c r="A84" t="str">
        <f>_xlfn.CONCAT(표1[[#This Row],[Year]],표1[[#This Row],[Player]])</f>
        <v>2004홍성흔</v>
      </c>
      <c r="B84">
        <v>2004</v>
      </c>
      <c r="C84">
        <v>3</v>
      </c>
      <c r="D84" t="s">
        <v>49</v>
      </c>
      <c r="E84" t="s">
        <v>1</v>
      </c>
      <c r="F84">
        <v>0.32900000000000001</v>
      </c>
      <c r="G84">
        <v>133</v>
      </c>
      <c r="H84">
        <v>552</v>
      </c>
      <c r="I84">
        <v>501</v>
      </c>
      <c r="J84">
        <v>62</v>
      </c>
      <c r="K84">
        <v>165</v>
      </c>
      <c r="L84">
        <f>표1[[#This Row],[H]]-표1[[#This Row],[2B]]-표1[[#This Row],[3B]]-표1[[#This Row],[HR]]</f>
        <v>122</v>
      </c>
      <c r="M84">
        <v>27</v>
      </c>
      <c r="N84">
        <v>2</v>
      </c>
      <c r="O84">
        <v>14</v>
      </c>
      <c r="P84">
        <v>238</v>
      </c>
      <c r="Q84">
        <v>86</v>
      </c>
      <c r="R84">
        <v>3</v>
      </c>
      <c r="S84">
        <v>2</v>
      </c>
      <c r="T84">
        <v>36</v>
      </c>
      <c r="U84">
        <v>2</v>
      </c>
      <c r="V84">
        <v>10</v>
      </c>
      <c r="W84">
        <v>7</v>
      </c>
      <c r="X84">
        <v>10</v>
      </c>
      <c r="Y84">
        <v>70</v>
      </c>
      <c r="Z84">
        <v>8</v>
      </c>
      <c r="AA84">
        <v>0.47499999999999998</v>
      </c>
      <c r="AB84">
        <v>0.38400000000000001</v>
      </c>
      <c r="AC84">
        <v>0.85899999999999999</v>
      </c>
      <c r="AD84">
        <v>44</v>
      </c>
      <c r="AE84">
        <v>0.33600000000000002</v>
      </c>
      <c r="AF84">
        <v>0</v>
      </c>
      <c r="AG84">
        <f>(표1[[#This Row],[TB]]-표1[[#This Row],[H]])/표1[[#This Row],[AB]]</f>
        <v>0.14570858283433133</v>
      </c>
      <c r="AH84">
        <f>(표1[[#This Row],[TB]]-표1[[#This Row],[H]]+표1[[#This Row],[BB]]+표1[[#This Row],[SB]]-표1[[#This Row],[CS]])/표1[[#This Row],[AB]]</f>
        <v>0.22355289421157684</v>
      </c>
      <c r="AI84">
        <f>(표1[[#This Row],[TB]]+표1[[#This Row],[BB]]+표1[[#This Row],[HBP]]+표1[[#This Row],[SB]]-표1[[#This Row],[CS]])/(표1[[#This Row],[AB]]-표1[[#This Row],[H]]+표1[[#This Row],[CS]]+표1[[#This Row],[GDP]])</f>
        <v>0.81766381766381768</v>
      </c>
      <c r="AJ8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91.338840579710151</v>
      </c>
      <c r="AK84">
        <f>표1[[#This Row],[RC]]/((표1[[#This Row],[AB]]-표1[[#This Row],[H]]+표1[[#This Row],[SAC]]+표1[[#This Row],[SF]]+표1[[#This Row],[CS]]+표1[[#This Row],[GDP]])/27)</f>
        <v>6.9273839765510505</v>
      </c>
      <c r="AL8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0.37385557586837298</v>
      </c>
      <c r="AM8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84.800000000000011</v>
      </c>
    </row>
    <row r="85" spans="1:39" x14ac:dyDescent="0.3">
      <c r="A85" t="str">
        <f>_xlfn.CONCAT(표1[[#This Row],[Year]],표1[[#This Row],[Player]])</f>
        <v>2004김태균</v>
      </c>
      <c r="B85">
        <v>2004</v>
      </c>
      <c r="C85">
        <v>4</v>
      </c>
      <c r="D85" t="s">
        <v>10</v>
      </c>
      <c r="E85" t="s">
        <v>11</v>
      </c>
      <c r="F85">
        <v>0.32300000000000001</v>
      </c>
      <c r="G85">
        <v>129</v>
      </c>
      <c r="H85">
        <v>556</v>
      </c>
      <c r="I85">
        <v>473</v>
      </c>
      <c r="J85">
        <v>76</v>
      </c>
      <c r="K85">
        <v>153</v>
      </c>
      <c r="L85">
        <f>표1[[#This Row],[H]]-표1[[#This Row],[2B]]-표1[[#This Row],[3B]]-표1[[#This Row],[HR]]</f>
        <v>103</v>
      </c>
      <c r="M85">
        <v>26</v>
      </c>
      <c r="N85">
        <v>1</v>
      </c>
      <c r="O85">
        <v>23</v>
      </c>
      <c r="P85">
        <v>250</v>
      </c>
      <c r="Q85">
        <v>106</v>
      </c>
      <c r="R85">
        <v>0</v>
      </c>
      <c r="S85">
        <v>7</v>
      </c>
      <c r="T85">
        <v>70</v>
      </c>
      <c r="U85">
        <v>3</v>
      </c>
      <c r="V85">
        <v>2</v>
      </c>
      <c r="W85">
        <v>1</v>
      </c>
      <c r="X85">
        <v>6</v>
      </c>
      <c r="Y85">
        <v>99</v>
      </c>
      <c r="Z85">
        <v>11</v>
      </c>
      <c r="AA85">
        <v>0.52900000000000003</v>
      </c>
      <c r="AB85">
        <v>0.41199999999999998</v>
      </c>
      <c r="AC85">
        <v>0.94099999999999995</v>
      </c>
      <c r="AD85">
        <v>45</v>
      </c>
      <c r="AE85">
        <v>0.32900000000000001</v>
      </c>
      <c r="AF85">
        <v>0</v>
      </c>
      <c r="AG85">
        <f>(표1[[#This Row],[TB]]-표1[[#This Row],[H]])/표1[[#This Row],[AB]]</f>
        <v>0.20507399577167018</v>
      </c>
      <c r="AH85">
        <f>(표1[[#This Row],[TB]]-표1[[#This Row],[H]]+표1[[#This Row],[BB]]+표1[[#This Row],[SB]]-표1[[#This Row],[CS]])/표1[[#This Row],[AB]]</f>
        <v>0.35517970401691334</v>
      </c>
      <c r="AI85">
        <f>(표1[[#This Row],[TB]]+표1[[#This Row],[BB]]+표1[[#This Row],[HBP]]+표1[[#This Row],[SB]]-표1[[#This Row],[CS]])/(표1[[#This Row],[AB]]-표1[[#This Row],[H]]+표1[[#This Row],[CS]]+표1[[#This Row],[GDP]])</f>
        <v>0.98493975903614461</v>
      </c>
      <c r="AJ8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106.80615107913671</v>
      </c>
      <c r="AK85">
        <f>표1[[#This Row],[RC]]/((표1[[#This Row],[AB]]-표1[[#This Row],[H]]+표1[[#This Row],[SAC]]+표1[[#This Row],[SF]]+표1[[#This Row],[CS]]+표1[[#This Row],[GDP]])/27)</f>
        <v>8.5066845992232771</v>
      </c>
      <c r="AL8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0.40377938517179024</v>
      </c>
      <c r="AM8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98.918000000000006</v>
      </c>
    </row>
    <row r="86" spans="1:39" x14ac:dyDescent="0.3">
      <c r="A86" t="str">
        <f>_xlfn.CONCAT(표1[[#This Row],[Year]],표1[[#This Row],[Player]])</f>
        <v>2004이병규</v>
      </c>
      <c r="B86">
        <v>2004</v>
      </c>
      <c r="C86">
        <v>5</v>
      </c>
      <c r="D86" t="s">
        <v>50</v>
      </c>
      <c r="E86" t="s">
        <v>36</v>
      </c>
      <c r="F86">
        <v>0.32300000000000001</v>
      </c>
      <c r="G86">
        <v>129</v>
      </c>
      <c r="H86">
        <v>562</v>
      </c>
      <c r="I86">
        <v>496</v>
      </c>
      <c r="J86">
        <v>95</v>
      </c>
      <c r="K86">
        <v>160</v>
      </c>
      <c r="L86">
        <f>표1[[#This Row],[H]]-표1[[#This Row],[2B]]-표1[[#This Row],[3B]]-표1[[#This Row],[HR]]</f>
        <v>118</v>
      </c>
      <c r="M86">
        <v>26</v>
      </c>
      <c r="N86">
        <v>2</v>
      </c>
      <c r="O86">
        <v>14</v>
      </c>
      <c r="P86">
        <v>232</v>
      </c>
      <c r="Q86">
        <v>64</v>
      </c>
      <c r="R86">
        <v>3</v>
      </c>
      <c r="S86">
        <v>1</v>
      </c>
      <c r="T86">
        <v>50</v>
      </c>
      <c r="U86">
        <v>1</v>
      </c>
      <c r="V86">
        <v>8</v>
      </c>
      <c r="W86">
        <v>4</v>
      </c>
      <c r="X86">
        <v>12</v>
      </c>
      <c r="Y86">
        <v>72</v>
      </c>
      <c r="Z86">
        <v>14</v>
      </c>
      <c r="AA86">
        <v>0.46800000000000003</v>
      </c>
      <c r="AB86">
        <v>0.39700000000000002</v>
      </c>
      <c r="AC86">
        <v>0.86499999999999999</v>
      </c>
      <c r="AD86">
        <v>45</v>
      </c>
      <c r="AE86">
        <v>0.28000000000000003</v>
      </c>
      <c r="AF86">
        <v>0.33300000000000002</v>
      </c>
      <c r="AG86">
        <f>(표1[[#This Row],[TB]]-표1[[#This Row],[H]])/표1[[#This Row],[AB]]</f>
        <v>0.14516129032258066</v>
      </c>
      <c r="AH86">
        <f>(표1[[#This Row],[TB]]-표1[[#This Row],[H]]+표1[[#This Row],[BB]]+표1[[#This Row],[SB]]-표1[[#This Row],[CS]])/표1[[#This Row],[AB]]</f>
        <v>0.25403225806451613</v>
      </c>
      <c r="AI86">
        <f>(표1[[#This Row],[TB]]+표1[[#This Row],[BB]]+표1[[#This Row],[HBP]]+표1[[#This Row],[SB]]-표1[[#This Row],[CS]])/(표1[[#This Row],[AB]]-표1[[#This Row],[H]]+표1[[#This Row],[CS]]+표1[[#This Row],[GDP]])</f>
        <v>0.84180790960451979</v>
      </c>
      <c r="AJ8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92.235587188612101</v>
      </c>
      <c r="AK86">
        <f>표1[[#This Row],[RC]]/((표1[[#This Row],[AB]]-표1[[#This Row],[H]]+표1[[#This Row],[SAC]]+표1[[#This Row],[SF]]+표1[[#This Row],[CS]]+표1[[#This Row],[GDP]])/27)</f>
        <v>6.9563152348953263</v>
      </c>
      <c r="AL8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0.37905913978494621</v>
      </c>
      <c r="AM8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85.604000000000013</v>
      </c>
    </row>
    <row r="87" spans="1:39" x14ac:dyDescent="0.3">
      <c r="A87" t="str">
        <f>_xlfn.CONCAT(표1[[#This Row],[Year]],표1[[#This Row],[Player]])</f>
        <v>2004김기태</v>
      </c>
      <c r="B87">
        <v>2004</v>
      </c>
      <c r="C87">
        <v>6</v>
      </c>
      <c r="D87" t="s">
        <v>51</v>
      </c>
      <c r="E87" t="s">
        <v>8</v>
      </c>
      <c r="F87">
        <v>0.32</v>
      </c>
      <c r="G87">
        <v>126</v>
      </c>
      <c r="H87">
        <v>465</v>
      </c>
      <c r="I87">
        <v>403</v>
      </c>
      <c r="J87">
        <v>60</v>
      </c>
      <c r="K87">
        <v>129</v>
      </c>
      <c r="L87">
        <f>표1[[#This Row],[H]]-표1[[#This Row],[2B]]-표1[[#This Row],[3B]]-표1[[#This Row],[HR]]</f>
        <v>95</v>
      </c>
      <c r="M87">
        <v>24</v>
      </c>
      <c r="N87">
        <v>0</v>
      </c>
      <c r="O87">
        <v>10</v>
      </c>
      <c r="P87">
        <v>183</v>
      </c>
      <c r="Q87">
        <v>67</v>
      </c>
      <c r="R87">
        <v>4</v>
      </c>
      <c r="S87">
        <v>1</v>
      </c>
      <c r="T87">
        <v>57</v>
      </c>
      <c r="U87">
        <v>6</v>
      </c>
      <c r="V87">
        <v>2</v>
      </c>
      <c r="W87">
        <v>4</v>
      </c>
      <c r="X87">
        <v>0</v>
      </c>
      <c r="Y87">
        <v>55</v>
      </c>
      <c r="Z87">
        <v>10</v>
      </c>
      <c r="AA87">
        <v>0.45400000000000001</v>
      </c>
      <c r="AB87">
        <v>0.40300000000000002</v>
      </c>
      <c r="AC87">
        <v>0.85699999999999998</v>
      </c>
      <c r="AD87">
        <v>36</v>
      </c>
      <c r="AE87">
        <v>0.36199999999999999</v>
      </c>
      <c r="AF87">
        <v>0.28599999999999998</v>
      </c>
      <c r="AG87">
        <f>(표1[[#This Row],[TB]]-표1[[#This Row],[H]])/표1[[#This Row],[AB]]</f>
        <v>0.13399503722084366</v>
      </c>
      <c r="AH87">
        <f>(표1[[#This Row],[TB]]-표1[[#This Row],[H]]+표1[[#This Row],[BB]]+표1[[#This Row],[SB]]-표1[[#This Row],[CS]])/표1[[#This Row],[AB]]</f>
        <v>0.27047146401985112</v>
      </c>
      <c r="AI87">
        <f>(표1[[#This Row],[TB]]+표1[[#This Row],[BB]]+표1[[#This Row],[HBP]]+표1[[#This Row],[SB]]-표1[[#This Row],[CS]])/(표1[[#This Row],[AB]]-표1[[#This Row],[H]]+표1[[#This Row],[CS]]+표1[[#This Row],[GDP]])</f>
        <v>0.82638888888888884</v>
      </c>
      <c r="AJ8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73.941505376344082</v>
      </c>
      <c r="AK87">
        <f>표1[[#This Row],[RC]]/((표1[[#This Row],[AB]]-표1[[#This Row],[H]]+표1[[#This Row],[SAC]]+표1[[#This Row],[SF]]+표1[[#This Row],[CS]]+표1[[#This Row],[GDP]])/27)</f>
        <v>6.8137223384344381</v>
      </c>
      <c r="AL8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0.37355824175824176</v>
      </c>
      <c r="AM8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68.83</v>
      </c>
    </row>
    <row r="88" spans="1:39" x14ac:dyDescent="0.3">
      <c r="A88" t="str">
        <f>_xlfn.CONCAT(표1[[#This Row],[Year]],표1[[#This Row],[Player]])</f>
        <v>2004이영우</v>
      </c>
      <c r="B88">
        <v>2004</v>
      </c>
      <c r="C88">
        <v>7</v>
      </c>
      <c r="D88" t="s">
        <v>20</v>
      </c>
      <c r="E88" t="s">
        <v>11</v>
      </c>
      <c r="F88">
        <v>0.31900000000000001</v>
      </c>
      <c r="G88">
        <v>131</v>
      </c>
      <c r="H88">
        <v>572</v>
      </c>
      <c r="I88">
        <v>483</v>
      </c>
      <c r="J88">
        <v>94</v>
      </c>
      <c r="K88">
        <v>154</v>
      </c>
      <c r="L88">
        <f>표1[[#This Row],[H]]-표1[[#This Row],[2B]]-표1[[#This Row],[3B]]-표1[[#This Row],[HR]]</f>
        <v>107</v>
      </c>
      <c r="M88">
        <v>31</v>
      </c>
      <c r="N88">
        <v>3</v>
      </c>
      <c r="O88">
        <v>13</v>
      </c>
      <c r="P88">
        <v>230</v>
      </c>
      <c r="Q88">
        <v>60</v>
      </c>
      <c r="R88">
        <v>6</v>
      </c>
      <c r="S88">
        <v>2</v>
      </c>
      <c r="T88">
        <v>73</v>
      </c>
      <c r="U88">
        <v>5</v>
      </c>
      <c r="V88">
        <v>20</v>
      </c>
      <c r="W88">
        <v>12</v>
      </c>
      <c r="X88">
        <v>8</v>
      </c>
      <c r="Y88">
        <v>66</v>
      </c>
      <c r="Z88">
        <v>13</v>
      </c>
      <c r="AA88">
        <v>0.47599999999999998</v>
      </c>
      <c r="AB88">
        <v>0.41499999999999998</v>
      </c>
      <c r="AC88">
        <v>0.89100000000000001</v>
      </c>
      <c r="AD88">
        <v>40</v>
      </c>
      <c r="AE88">
        <v>0.26500000000000001</v>
      </c>
      <c r="AF88">
        <v>0.33300000000000002</v>
      </c>
      <c r="AG88">
        <f>(표1[[#This Row],[TB]]-표1[[#This Row],[H]])/표1[[#This Row],[AB]]</f>
        <v>0.15734989648033126</v>
      </c>
      <c r="AH88">
        <f>(표1[[#This Row],[TB]]-표1[[#This Row],[H]]+표1[[#This Row],[BB]]+표1[[#This Row],[SB]]-표1[[#This Row],[CS]])/표1[[#This Row],[AB]]</f>
        <v>0.32505175983436851</v>
      </c>
      <c r="AI88">
        <f>(표1[[#This Row],[TB]]+표1[[#This Row],[BB]]+표1[[#This Row],[HBP]]+표1[[#This Row],[SB]]-표1[[#This Row],[CS]])/(표1[[#This Row],[AB]]-표1[[#This Row],[H]]+표1[[#This Row],[CS]]+표1[[#This Row],[GDP]])</f>
        <v>0.90112994350282483</v>
      </c>
      <c r="AJ8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97.040559440559434</v>
      </c>
      <c r="AK88">
        <f>표1[[#This Row],[RC]]/((표1[[#This Row],[AB]]-표1[[#This Row],[H]]+표1[[#This Row],[SAC]]+표1[[#This Row],[SF]]+표1[[#This Row],[CS]]+표1[[#This Row],[GDP]])/27)</f>
        <v>7.2378317814781905</v>
      </c>
      <c r="AL8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0.38832798573975036</v>
      </c>
      <c r="AM8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90.541999999999973</v>
      </c>
    </row>
    <row r="89" spans="1:39" x14ac:dyDescent="0.3">
      <c r="A89" t="str">
        <f>_xlfn.CONCAT(표1[[#This Row],[Year]],표1[[#This Row],[Player]])</f>
        <v>2004양준혁</v>
      </c>
      <c r="B89">
        <v>2004</v>
      </c>
      <c r="C89">
        <v>8</v>
      </c>
      <c r="D89" t="s">
        <v>5</v>
      </c>
      <c r="E89" t="s">
        <v>6</v>
      </c>
      <c r="F89">
        <v>0.315</v>
      </c>
      <c r="G89">
        <v>133</v>
      </c>
      <c r="H89">
        <v>584</v>
      </c>
      <c r="I89">
        <v>479</v>
      </c>
      <c r="J89">
        <v>95</v>
      </c>
      <c r="K89">
        <v>151</v>
      </c>
      <c r="L89">
        <f>표1[[#This Row],[H]]-표1[[#This Row],[2B]]-표1[[#This Row],[3B]]-표1[[#This Row],[HR]]</f>
        <v>93</v>
      </c>
      <c r="M89">
        <v>30</v>
      </c>
      <c r="N89">
        <v>0</v>
      </c>
      <c r="O89">
        <v>28</v>
      </c>
      <c r="P89">
        <v>265</v>
      </c>
      <c r="Q89">
        <v>103</v>
      </c>
      <c r="R89">
        <v>1</v>
      </c>
      <c r="S89">
        <v>2</v>
      </c>
      <c r="T89">
        <v>89</v>
      </c>
      <c r="U89">
        <v>8</v>
      </c>
      <c r="V89">
        <v>5</v>
      </c>
      <c r="W89">
        <v>2</v>
      </c>
      <c r="X89">
        <v>13</v>
      </c>
      <c r="Y89">
        <v>53</v>
      </c>
      <c r="Z89">
        <v>10</v>
      </c>
      <c r="AA89">
        <v>0.55300000000000005</v>
      </c>
      <c r="AB89">
        <v>0.434</v>
      </c>
      <c r="AC89">
        <v>0.98699999999999999</v>
      </c>
      <c r="AD89">
        <v>44</v>
      </c>
      <c r="AE89">
        <v>0.34100000000000003</v>
      </c>
      <c r="AF89">
        <v>0</v>
      </c>
      <c r="AG89">
        <f>(표1[[#This Row],[TB]]-표1[[#This Row],[H]])/표1[[#This Row],[AB]]</f>
        <v>0.23799582463465555</v>
      </c>
      <c r="AH89">
        <f>(표1[[#This Row],[TB]]-표1[[#This Row],[H]]+표1[[#This Row],[BB]]+표1[[#This Row],[SB]]-표1[[#This Row],[CS]])/표1[[#This Row],[AB]]</f>
        <v>0.43006263048016702</v>
      </c>
      <c r="AI89">
        <f>(표1[[#This Row],[TB]]+표1[[#This Row],[BB]]+표1[[#This Row],[HBP]]+표1[[#This Row],[SB]]-표1[[#This Row],[CS]])/(표1[[#This Row],[AB]]-표1[[#This Row],[H]]+표1[[#This Row],[CS]]+표1[[#This Row],[GDP]])</f>
        <v>1.088235294117647</v>
      </c>
      <c r="AJ8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121.16027397260275</v>
      </c>
      <c r="AK89">
        <f>표1[[#This Row],[RC]]/((표1[[#This Row],[AB]]-표1[[#This Row],[H]]+표1[[#This Row],[SAC]]+표1[[#This Row],[SF]]+표1[[#This Row],[CS]]+표1[[#This Row],[GDP]])/27)</f>
        <v>9.5373976596509458</v>
      </c>
      <c r="AL8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0.42243999999999998</v>
      </c>
      <c r="AM8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109.77599999999998</v>
      </c>
    </row>
    <row r="90" spans="1:39" x14ac:dyDescent="0.3">
      <c r="A90" t="str">
        <f>_xlfn.CONCAT(표1[[#This Row],[Year]],표1[[#This Row],[Player]])</f>
        <v>2004페레즈</v>
      </c>
      <c r="B90">
        <v>2004</v>
      </c>
      <c r="C90">
        <v>9</v>
      </c>
      <c r="D90" t="s">
        <v>52</v>
      </c>
      <c r="E90" t="s">
        <v>17</v>
      </c>
      <c r="F90">
        <v>0.314</v>
      </c>
      <c r="G90">
        <v>125</v>
      </c>
      <c r="H90">
        <v>532</v>
      </c>
      <c r="I90">
        <v>490</v>
      </c>
      <c r="J90">
        <v>60</v>
      </c>
      <c r="K90">
        <v>154</v>
      </c>
      <c r="L90">
        <f>표1[[#This Row],[H]]-표1[[#This Row],[2B]]-표1[[#This Row],[3B]]-표1[[#This Row],[HR]]</f>
        <v>119</v>
      </c>
      <c r="M90">
        <v>17</v>
      </c>
      <c r="N90">
        <v>0</v>
      </c>
      <c r="O90">
        <v>18</v>
      </c>
      <c r="P90">
        <v>225</v>
      </c>
      <c r="Q90">
        <v>86</v>
      </c>
      <c r="R90">
        <v>1</v>
      </c>
      <c r="S90">
        <v>3</v>
      </c>
      <c r="T90">
        <v>33</v>
      </c>
      <c r="U90">
        <v>6</v>
      </c>
      <c r="V90">
        <v>7</v>
      </c>
      <c r="W90">
        <v>6</v>
      </c>
      <c r="X90">
        <v>5</v>
      </c>
      <c r="Y90">
        <v>66</v>
      </c>
      <c r="Z90">
        <v>19</v>
      </c>
      <c r="AA90">
        <v>0.45900000000000002</v>
      </c>
      <c r="AB90">
        <v>0.36199999999999999</v>
      </c>
      <c r="AC90">
        <v>0.82099999999999995</v>
      </c>
      <c r="AD90">
        <v>48</v>
      </c>
      <c r="AE90">
        <v>0.35099999999999998</v>
      </c>
      <c r="AF90">
        <v>0</v>
      </c>
      <c r="AG90">
        <f>(표1[[#This Row],[TB]]-표1[[#This Row],[H]])/표1[[#This Row],[AB]]</f>
        <v>0.14489795918367346</v>
      </c>
      <c r="AH90">
        <f>(표1[[#This Row],[TB]]-표1[[#This Row],[H]]+표1[[#This Row],[BB]]+표1[[#This Row],[SB]]-표1[[#This Row],[CS]])/표1[[#This Row],[AB]]</f>
        <v>0.21428571428571427</v>
      </c>
      <c r="AI90">
        <f>(표1[[#This Row],[TB]]+표1[[#This Row],[BB]]+표1[[#This Row],[HBP]]+표1[[#This Row],[SB]]-표1[[#This Row],[CS]])/(표1[[#This Row],[AB]]-표1[[#This Row],[H]]+표1[[#This Row],[CS]]+표1[[#This Row],[GDP]])</f>
        <v>0.73130193905817176</v>
      </c>
      <c r="AJ9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75.036992481203015</v>
      </c>
      <c r="AK90">
        <f>표1[[#This Row],[RC]]/((표1[[#This Row],[AB]]-표1[[#This Row],[H]]+표1[[#This Row],[SAC]]+표1[[#This Row],[SF]]+표1[[#This Row],[CS]]+표1[[#This Row],[GDP]])/27)</f>
        <v>5.550681635595839</v>
      </c>
      <c r="AL9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0.35404952380952376</v>
      </c>
      <c r="AM9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72.731999999999999</v>
      </c>
    </row>
    <row r="91" spans="1:39" x14ac:dyDescent="0.3">
      <c r="A91" t="str">
        <f>_xlfn.CONCAT(표1[[#This Row],[Year]],표1[[#This Row],[Player]])</f>
        <v>2004박한이</v>
      </c>
      <c r="B91">
        <v>2004</v>
      </c>
      <c r="C91">
        <v>10</v>
      </c>
      <c r="D91" t="s">
        <v>9</v>
      </c>
      <c r="E91" t="s">
        <v>6</v>
      </c>
      <c r="F91">
        <v>0.31</v>
      </c>
      <c r="G91">
        <v>132</v>
      </c>
      <c r="H91">
        <v>587</v>
      </c>
      <c r="I91">
        <v>503</v>
      </c>
      <c r="J91">
        <v>81</v>
      </c>
      <c r="K91">
        <v>156</v>
      </c>
      <c r="L91">
        <f>표1[[#This Row],[H]]-표1[[#This Row],[2B]]-표1[[#This Row],[3B]]-표1[[#This Row],[HR]]</f>
        <v>112</v>
      </c>
      <c r="M91">
        <v>26</v>
      </c>
      <c r="N91">
        <v>2</v>
      </c>
      <c r="O91">
        <v>16</v>
      </c>
      <c r="P91">
        <v>234</v>
      </c>
      <c r="Q91">
        <v>63</v>
      </c>
      <c r="R91">
        <v>7</v>
      </c>
      <c r="S91">
        <v>3</v>
      </c>
      <c r="T91">
        <v>69</v>
      </c>
      <c r="U91">
        <v>3</v>
      </c>
      <c r="V91">
        <v>13</v>
      </c>
      <c r="W91">
        <v>9</v>
      </c>
      <c r="X91">
        <v>5</v>
      </c>
      <c r="Y91">
        <v>57</v>
      </c>
      <c r="Z91">
        <v>8</v>
      </c>
      <c r="AA91">
        <v>0.46500000000000002</v>
      </c>
      <c r="AB91">
        <v>0.39700000000000002</v>
      </c>
      <c r="AC91">
        <v>0.86199999999999999</v>
      </c>
      <c r="AD91">
        <v>50</v>
      </c>
      <c r="AE91">
        <v>0.314</v>
      </c>
      <c r="AF91">
        <v>0.33300000000000002</v>
      </c>
      <c r="AG91">
        <f>(표1[[#This Row],[TB]]-표1[[#This Row],[H]])/표1[[#This Row],[AB]]</f>
        <v>0.15506958250497019</v>
      </c>
      <c r="AH91">
        <f>(표1[[#This Row],[TB]]-표1[[#This Row],[H]]+표1[[#This Row],[BB]]+표1[[#This Row],[SB]]-표1[[#This Row],[CS]])/표1[[#This Row],[AB]]</f>
        <v>0.30019880715705766</v>
      </c>
      <c r="AI91">
        <f>(표1[[#This Row],[TB]]+표1[[#This Row],[BB]]+표1[[#This Row],[HBP]]+표1[[#This Row],[SB]]-표1[[#This Row],[CS]])/(표1[[#This Row],[AB]]-표1[[#This Row],[H]]+표1[[#This Row],[CS]]+표1[[#This Row],[GDP]])</f>
        <v>0.8571428571428571</v>
      </c>
      <c r="AJ9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95.947972742759802</v>
      </c>
      <c r="AK91">
        <f>표1[[#This Row],[RC]]/((표1[[#This Row],[AB]]-표1[[#This Row],[H]]+표1[[#This Row],[SAC]]+표1[[#This Row],[SF]]+표1[[#This Row],[CS]]+표1[[#This Row],[GDP]])/27)</f>
        <v>6.9267253049585955</v>
      </c>
      <c r="AL9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0.37611785095320621</v>
      </c>
      <c r="AM9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90.934000000000026</v>
      </c>
    </row>
    <row r="92" spans="1:39" x14ac:dyDescent="0.3">
      <c r="A92" t="str">
        <f>_xlfn.CONCAT(표1[[#This Row],[Year]],표1[[#This Row],[Player]])</f>
        <v>2004이범호</v>
      </c>
      <c r="B92">
        <v>2004</v>
      </c>
      <c r="C92">
        <v>11</v>
      </c>
      <c r="D92" t="s">
        <v>53</v>
      </c>
      <c r="E92" t="s">
        <v>11</v>
      </c>
      <c r="F92">
        <v>0.308</v>
      </c>
      <c r="G92">
        <v>133</v>
      </c>
      <c r="H92">
        <v>541</v>
      </c>
      <c r="I92">
        <v>481</v>
      </c>
      <c r="J92">
        <v>80</v>
      </c>
      <c r="K92">
        <v>148</v>
      </c>
      <c r="L92">
        <f>표1[[#This Row],[H]]-표1[[#This Row],[2B]]-표1[[#This Row],[3B]]-표1[[#This Row],[HR]]</f>
        <v>87</v>
      </c>
      <c r="M92">
        <v>35</v>
      </c>
      <c r="N92">
        <v>3</v>
      </c>
      <c r="O92">
        <v>23</v>
      </c>
      <c r="P92">
        <v>258</v>
      </c>
      <c r="Q92">
        <v>74</v>
      </c>
      <c r="R92">
        <v>5</v>
      </c>
      <c r="S92">
        <v>4</v>
      </c>
      <c r="T92">
        <v>48</v>
      </c>
      <c r="U92">
        <v>1</v>
      </c>
      <c r="V92">
        <v>6</v>
      </c>
      <c r="W92">
        <v>3</v>
      </c>
      <c r="X92">
        <v>3</v>
      </c>
      <c r="Y92">
        <v>80</v>
      </c>
      <c r="Z92">
        <v>8</v>
      </c>
      <c r="AA92">
        <v>0.53600000000000003</v>
      </c>
      <c r="AB92">
        <v>0.371</v>
      </c>
      <c r="AC92">
        <v>0.90700000000000003</v>
      </c>
      <c r="AD92">
        <v>42</v>
      </c>
      <c r="AE92">
        <v>0.28699999999999998</v>
      </c>
      <c r="AF92">
        <v>0</v>
      </c>
      <c r="AG92">
        <f>(표1[[#This Row],[TB]]-표1[[#This Row],[H]])/표1[[#This Row],[AB]]</f>
        <v>0.2286902286902287</v>
      </c>
      <c r="AH92">
        <f>(표1[[#This Row],[TB]]-표1[[#This Row],[H]]+표1[[#This Row],[BB]]+표1[[#This Row],[SB]]-표1[[#This Row],[CS]])/표1[[#This Row],[AB]]</f>
        <v>0.33471933471933474</v>
      </c>
      <c r="AI92">
        <f>(표1[[#This Row],[TB]]+표1[[#This Row],[BB]]+표1[[#This Row],[HBP]]+표1[[#This Row],[SB]]-표1[[#This Row],[CS]])/(표1[[#This Row],[AB]]-표1[[#This Row],[H]]+표1[[#This Row],[CS]]+표1[[#This Row],[GDP]])</f>
        <v>0.90697674418604646</v>
      </c>
      <c r="AJ9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96.884288354898345</v>
      </c>
      <c r="AK92">
        <f>표1[[#This Row],[RC]]/((표1[[#This Row],[AB]]-표1[[#This Row],[H]]+표1[[#This Row],[SAC]]+표1[[#This Row],[SF]]+표1[[#This Row],[CS]]+표1[[#This Row],[GDP]])/27)</f>
        <v>7.4104129903180036</v>
      </c>
      <c r="AL9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0.38814766355140184</v>
      </c>
      <c r="AM9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90.420000000000016</v>
      </c>
    </row>
    <row r="93" spans="1:39" x14ac:dyDescent="0.3">
      <c r="A93" t="str">
        <f>_xlfn.CONCAT(표1[[#This Row],[Year]],표1[[#This Row],[Player]])</f>
        <v>2004김재현</v>
      </c>
      <c r="B93">
        <v>2004</v>
      </c>
      <c r="C93">
        <v>12</v>
      </c>
      <c r="D93" t="s">
        <v>54</v>
      </c>
      <c r="E93" t="s">
        <v>36</v>
      </c>
      <c r="F93">
        <v>0.3</v>
      </c>
      <c r="G93">
        <v>120</v>
      </c>
      <c r="H93">
        <v>458</v>
      </c>
      <c r="I93">
        <v>373</v>
      </c>
      <c r="J93">
        <v>56</v>
      </c>
      <c r="K93">
        <v>112</v>
      </c>
      <c r="L93">
        <f>표1[[#This Row],[H]]-표1[[#This Row],[2B]]-표1[[#This Row],[3B]]-표1[[#This Row],[HR]]</f>
        <v>77</v>
      </c>
      <c r="M93">
        <v>18</v>
      </c>
      <c r="N93">
        <v>3</v>
      </c>
      <c r="O93">
        <v>14</v>
      </c>
      <c r="P93">
        <v>178</v>
      </c>
      <c r="Q93">
        <v>62</v>
      </c>
      <c r="R93">
        <v>0</v>
      </c>
      <c r="S93">
        <v>7</v>
      </c>
      <c r="T93">
        <v>66</v>
      </c>
      <c r="U93">
        <v>5</v>
      </c>
      <c r="V93">
        <v>1</v>
      </c>
      <c r="W93">
        <v>1</v>
      </c>
      <c r="X93">
        <v>12</v>
      </c>
      <c r="Y93">
        <v>58</v>
      </c>
      <c r="Z93">
        <v>10</v>
      </c>
      <c r="AA93">
        <v>0.47699999999999998</v>
      </c>
      <c r="AB93">
        <v>0.41499999999999998</v>
      </c>
      <c r="AC93">
        <v>0.89200000000000002</v>
      </c>
      <c r="AD93">
        <v>29</v>
      </c>
      <c r="AE93">
        <v>0.27400000000000002</v>
      </c>
      <c r="AF93">
        <v>0.6</v>
      </c>
      <c r="AG93">
        <f>(표1[[#This Row],[TB]]-표1[[#This Row],[H]])/표1[[#This Row],[AB]]</f>
        <v>0.17694369973190349</v>
      </c>
      <c r="AH93">
        <f>(표1[[#This Row],[TB]]-표1[[#This Row],[H]]+표1[[#This Row],[BB]]+표1[[#This Row],[SB]]-표1[[#This Row],[CS]])/표1[[#This Row],[AB]]</f>
        <v>0.35388739946380698</v>
      </c>
      <c r="AI93">
        <f>(표1[[#This Row],[TB]]+표1[[#This Row],[BB]]+표1[[#This Row],[HBP]]+표1[[#This Row],[SB]]-표1[[#This Row],[CS]])/(표1[[#This Row],[AB]]-표1[[#This Row],[H]]+표1[[#This Row],[CS]]+표1[[#This Row],[GDP]])</f>
        <v>0.94117647058823528</v>
      </c>
      <c r="AJ9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78.611484716157207</v>
      </c>
      <c r="AK93">
        <f>표1[[#This Row],[RC]]/((표1[[#This Row],[AB]]-표1[[#This Row],[H]]+표1[[#This Row],[SAC]]+표1[[#This Row],[SF]]+표1[[#This Row],[CS]]+표1[[#This Row],[GDP]])/27)</f>
        <v>7.6075630370474716</v>
      </c>
      <c r="AL9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0.38653421633554075</v>
      </c>
      <c r="AM9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75.606000000000023</v>
      </c>
    </row>
    <row r="94" spans="1:39" x14ac:dyDescent="0.3">
      <c r="A94" t="str">
        <f>_xlfn.CONCAT(표1[[#This Row],[Year]],표1[[#This Row],[Player]])</f>
        <v>2004박용택</v>
      </c>
      <c r="B94">
        <v>2004</v>
      </c>
      <c r="C94">
        <v>13</v>
      </c>
      <c r="D94" t="s">
        <v>42</v>
      </c>
      <c r="E94" t="s">
        <v>36</v>
      </c>
      <c r="F94">
        <v>0.3</v>
      </c>
      <c r="G94">
        <v>109</v>
      </c>
      <c r="H94">
        <v>435</v>
      </c>
      <c r="I94">
        <v>393</v>
      </c>
      <c r="J94">
        <v>51</v>
      </c>
      <c r="K94">
        <v>118</v>
      </c>
      <c r="L94">
        <f>표1[[#This Row],[H]]-표1[[#This Row],[2B]]-표1[[#This Row],[3B]]-표1[[#This Row],[HR]]</f>
        <v>85</v>
      </c>
      <c r="M94">
        <v>15</v>
      </c>
      <c r="N94">
        <v>2</v>
      </c>
      <c r="O94">
        <v>16</v>
      </c>
      <c r="P94">
        <v>185</v>
      </c>
      <c r="Q94">
        <v>58</v>
      </c>
      <c r="R94">
        <v>6</v>
      </c>
      <c r="S94">
        <v>1</v>
      </c>
      <c r="T94">
        <v>32</v>
      </c>
      <c r="U94">
        <v>3</v>
      </c>
      <c r="V94">
        <v>10</v>
      </c>
      <c r="W94">
        <v>4</v>
      </c>
      <c r="X94">
        <v>3</v>
      </c>
      <c r="Y94">
        <v>68</v>
      </c>
      <c r="Z94">
        <v>4</v>
      </c>
      <c r="AA94">
        <v>0.47099999999999997</v>
      </c>
      <c r="AB94">
        <v>0.35699999999999998</v>
      </c>
      <c r="AC94">
        <v>0.82799999999999996</v>
      </c>
      <c r="AD94">
        <v>36</v>
      </c>
      <c r="AE94">
        <v>0.29399999999999998</v>
      </c>
      <c r="AF94">
        <v>0.125</v>
      </c>
      <c r="AG94">
        <f>(표1[[#This Row],[TB]]-표1[[#This Row],[H]])/표1[[#This Row],[AB]]</f>
        <v>0.17048346055979643</v>
      </c>
      <c r="AH94">
        <f>(표1[[#This Row],[TB]]-표1[[#This Row],[H]]+표1[[#This Row],[BB]]+표1[[#This Row],[SB]]-표1[[#This Row],[CS]])/표1[[#This Row],[AB]]</f>
        <v>0.26717557251908397</v>
      </c>
      <c r="AI94">
        <f>(표1[[#This Row],[TB]]+표1[[#This Row],[BB]]+표1[[#This Row],[HBP]]+표1[[#This Row],[SB]]-표1[[#This Row],[CS]])/(표1[[#This Row],[AB]]-표1[[#This Row],[H]]+표1[[#This Row],[CS]]+표1[[#This Row],[GDP]])</f>
        <v>0.79858657243816256</v>
      </c>
      <c r="AJ9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67.38666666666667</v>
      </c>
      <c r="AK94">
        <f>표1[[#This Row],[RC]]/((표1[[#This Row],[AB]]-표1[[#This Row],[H]]+표1[[#This Row],[SAC]]+표1[[#This Row],[SF]]+표1[[#This Row],[CS]]+표1[[#This Row],[GDP]])/27)</f>
        <v>6.273931034482759</v>
      </c>
      <c r="AL9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0.35754460093896712</v>
      </c>
      <c r="AM9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64.405999999999977</v>
      </c>
    </row>
    <row r="95" spans="1:39" x14ac:dyDescent="0.3">
      <c r="A95" t="str">
        <f>_xlfn.CONCAT(표1[[#This Row],[Year]],표1[[#This Row],[Player]])</f>
        <v>2004장성호</v>
      </c>
      <c r="B95">
        <v>2004</v>
      </c>
      <c r="C95">
        <v>14</v>
      </c>
      <c r="D95" t="s">
        <v>12</v>
      </c>
      <c r="E95" t="s">
        <v>13</v>
      </c>
      <c r="F95">
        <v>0.3</v>
      </c>
      <c r="G95">
        <v>130</v>
      </c>
      <c r="H95">
        <v>561</v>
      </c>
      <c r="I95">
        <v>474</v>
      </c>
      <c r="J95">
        <v>78</v>
      </c>
      <c r="K95">
        <v>142</v>
      </c>
      <c r="L95">
        <f>표1[[#This Row],[H]]-표1[[#This Row],[2B]]-표1[[#This Row],[3B]]-표1[[#This Row],[HR]]</f>
        <v>94</v>
      </c>
      <c r="M95">
        <v>29</v>
      </c>
      <c r="N95">
        <v>0</v>
      </c>
      <c r="O95">
        <v>19</v>
      </c>
      <c r="P95">
        <v>228</v>
      </c>
      <c r="Q95">
        <v>80</v>
      </c>
      <c r="R95">
        <v>0</v>
      </c>
      <c r="S95">
        <v>4</v>
      </c>
      <c r="T95">
        <v>76</v>
      </c>
      <c r="U95">
        <v>5</v>
      </c>
      <c r="V95">
        <v>11</v>
      </c>
      <c r="W95">
        <v>7</v>
      </c>
      <c r="X95">
        <v>7</v>
      </c>
      <c r="Y95">
        <v>61</v>
      </c>
      <c r="Z95">
        <v>11</v>
      </c>
      <c r="AA95">
        <v>0.48099999999999998</v>
      </c>
      <c r="AB95">
        <v>0.40100000000000002</v>
      </c>
      <c r="AC95">
        <v>0.88200000000000001</v>
      </c>
      <c r="AD95">
        <v>37</v>
      </c>
      <c r="AE95">
        <v>0.31</v>
      </c>
      <c r="AF95">
        <v>0</v>
      </c>
      <c r="AG95">
        <f>(표1[[#This Row],[TB]]-표1[[#This Row],[H]])/표1[[#This Row],[AB]]</f>
        <v>0.18143459915611815</v>
      </c>
      <c r="AH95">
        <f>(표1[[#This Row],[TB]]-표1[[#This Row],[H]]+표1[[#This Row],[BB]]+표1[[#This Row],[SB]]-표1[[#This Row],[CS]])/표1[[#This Row],[AB]]</f>
        <v>0.35021097046413502</v>
      </c>
      <c r="AI95">
        <f>(표1[[#This Row],[TB]]+표1[[#This Row],[BB]]+표1[[#This Row],[HBP]]+표1[[#This Row],[SB]]-표1[[#This Row],[CS]])/(표1[[#This Row],[AB]]-표1[[#This Row],[H]]+표1[[#This Row],[CS]]+표1[[#This Row],[GDP]])</f>
        <v>0.9</v>
      </c>
      <c r="AJ9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94.489411764705878</v>
      </c>
      <c r="AK95">
        <f>표1[[#This Row],[RC]]/((표1[[#This Row],[AB]]-표1[[#This Row],[H]]+표1[[#This Row],[SAC]]+표1[[#This Row],[SF]]+표1[[#This Row],[CS]]+표1[[#This Row],[GDP]])/27)</f>
        <v>7.2068195413758724</v>
      </c>
      <c r="AL9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0.38267266187050364</v>
      </c>
      <c r="AM9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89.792000000000016</v>
      </c>
    </row>
    <row r="96" spans="1:39" x14ac:dyDescent="0.3">
      <c r="A96" t="str">
        <f>_xlfn.CONCAT(표1[[#This Row],[Year]],표1[[#This Row],[Player]])</f>
        <v>2004라이온</v>
      </c>
      <c r="B96">
        <v>2004</v>
      </c>
      <c r="C96">
        <v>15</v>
      </c>
      <c r="D96" t="s">
        <v>55</v>
      </c>
      <c r="E96" t="s">
        <v>17</v>
      </c>
      <c r="F96">
        <v>0.3</v>
      </c>
      <c r="G96">
        <v>102</v>
      </c>
      <c r="H96">
        <v>438</v>
      </c>
      <c r="I96">
        <v>404</v>
      </c>
      <c r="J96">
        <v>52</v>
      </c>
      <c r="K96">
        <v>121</v>
      </c>
      <c r="L96">
        <f>표1[[#This Row],[H]]-표1[[#This Row],[2B]]-표1[[#This Row],[3B]]-표1[[#This Row],[HR]]</f>
        <v>81</v>
      </c>
      <c r="M96">
        <v>28</v>
      </c>
      <c r="N96">
        <v>0</v>
      </c>
      <c r="O96">
        <v>12</v>
      </c>
      <c r="P96">
        <v>185</v>
      </c>
      <c r="Q96">
        <v>55</v>
      </c>
      <c r="R96">
        <v>1</v>
      </c>
      <c r="S96">
        <v>3</v>
      </c>
      <c r="T96">
        <v>25</v>
      </c>
      <c r="U96">
        <v>2</v>
      </c>
      <c r="V96">
        <v>3</v>
      </c>
      <c r="W96">
        <v>1</v>
      </c>
      <c r="X96">
        <v>5</v>
      </c>
      <c r="Y96">
        <v>66</v>
      </c>
      <c r="Z96">
        <v>5</v>
      </c>
      <c r="AA96">
        <v>0.45800000000000002</v>
      </c>
      <c r="AB96">
        <v>0.34599999999999997</v>
      </c>
      <c r="AC96">
        <v>0.80400000000000005</v>
      </c>
      <c r="AD96">
        <v>30</v>
      </c>
      <c r="AE96">
        <v>0.23</v>
      </c>
      <c r="AF96">
        <v>0</v>
      </c>
      <c r="AG96">
        <f>(표1[[#This Row],[TB]]-표1[[#This Row],[H]])/표1[[#This Row],[AB]]</f>
        <v>0.15841584158415842</v>
      </c>
      <c r="AH96">
        <f>(표1[[#This Row],[TB]]-표1[[#This Row],[H]]+표1[[#This Row],[BB]]+표1[[#This Row],[SB]]-표1[[#This Row],[CS]])/표1[[#This Row],[AB]]</f>
        <v>0.22524752475247525</v>
      </c>
      <c r="AI96">
        <f>(표1[[#This Row],[TB]]+표1[[#This Row],[BB]]+표1[[#This Row],[HBP]]+표1[[#This Row],[SB]]-표1[[#This Row],[CS]])/(표1[[#This Row],[AB]]-표1[[#This Row],[H]]+표1[[#This Row],[CS]]+표1[[#This Row],[GDP]])</f>
        <v>0.75086505190311414</v>
      </c>
      <c r="AJ9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64.859360730593608</v>
      </c>
      <c r="AK96">
        <f>표1[[#This Row],[RC]]/((표1[[#This Row],[AB]]-표1[[#This Row],[H]]+표1[[#This Row],[SAC]]+표1[[#This Row],[SF]]+표1[[#This Row],[CS]]+표1[[#This Row],[GDP]])/27)</f>
        <v>5.9768011594744967</v>
      </c>
      <c r="AL9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0.34712413793103447</v>
      </c>
      <c r="AM9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61.481999999999999</v>
      </c>
    </row>
    <row r="97" spans="1:39" x14ac:dyDescent="0.3">
      <c r="A97" t="str">
        <f>_xlfn.CONCAT(표1[[#This Row],[Year]],표1[[#This Row],[Player]])</f>
        <v>2004정경배</v>
      </c>
      <c r="B97">
        <v>2004</v>
      </c>
      <c r="C97">
        <v>16</v>
      </c>
      <c r="D97" t="s">
        <v>37</v>
      </c>
      <c r="E97" t="s">
        <v>8</v>
      </c>
      <c r="F97">
        <v>0.29599999999999999</v>
      </c>
      <c r="G97">
        <v>105</v>
      </c>
      <c r="H97">
        <v>421</v>
      </c>
      <c r="I97">
        <v>362</v>
      </c>
      <c r="J97">
        <v>51</v>
      </c>
      <c r="K97">
        <v>107</v>
      </c>
      <c r="L97">
        <f>표1[[#This Row],[H]]-표1[[#This Row],[2B]]-표1[[#This Row],[3B]]-표1[[#This Row],[HR]]</f>
        <v>75</v>
      </c>
      <c r="M97">
        <v>23</v>
      </c>
      <c r="N97">
        <v>0</v>
      </c>
      <c r="O97">
        <v>9</v>
      </c>
      <c r="P97">
        <v>157</v>
      </c>
      <c r="Q97">
        <v>47</v>
      </c>
      <c r="R97">
        <v>13</v>
      </c>
      <c r="S97">
        <v>3</v>
      </c>
      <c r="T97">
        <v>32</v>
      </c>
      <c r="U97">
        <v>0</v>
      </c>
      <c r="V97">
        <v>2</v>
      </c>
      <c r="W97">
        <v>4</v>
      </c>
      <c r="X97">
        <v>11</v>
      </c>
      <c r="Y97">
        <v>63</v>
      </c>
      <c r="Z97">
        <v>9</v>
      </c>
      <c r="AA97">
        <v>0.434</v>
      </c>
      <c r="AB97">
        <v>0.36799999999999999</v>
      </c>
      <c r="AC97">
        <v>0.80200000000000005</v>
      </c>
      <c r="AD97">
        <v>38</v>
      </c>
      <c r="AE97">
        <v>0.3</v>
      </c>
      <c r="AF97">
        <v>0</v>
      </c>
      <c r="AG97">
        <f>(표1[[#This Row],[TB]]-표1[[#This Row],[H]])/표1[[#This Row],[AB]]</f>
        <v>0.13812154696132597</v>
      </c>
      <c r="AH97">
        <f>(표1[[#This Row],[TB]]-표1[[#This Row],[H]]+표1[[#This Row],[BB]]+표1[[#This Row],[SB]]-표1[[#This Row],[CS]])/표1[[#This Row],[AB]]</f>
        <v>0.22099447513812154</v>
      </c>
      <c r="AI97">
        <f>(표1[[#This Row],[TB]]+표1[[#This Row],[BB]]+표1[[#This Row],[HBP]]+표1[[#This Row],[SB]]-표1[[#This Row],[CS]])/(표1[[#This Row],[AB]]-표1[[#This Row],[H]]+표1[[#This Row],[CS]]+표1[[#This Row],[GDP]])</f>
        <v>0.73880597014925375</v>
      </c>
      <c r="AJ9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57.774299287410933</v>
      </c>
      <c r="AK97">
        <f>표1[[#This Row],[RC]]/((표1[[#This Row],[AB]]-표1[[#This Row],[H]]+표1[[#This Row],[SAC]]+표1[[#This Row],[SF]]+표1[[#This Row],[CS]]+표1[[#This Row],[GDP]])/27)</f>
        <v>5.4926270449299128</v>
      </c>
      <c r="AL9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0.35241911764705885</v>
      </c>
      <c r="AM9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55.566000000000003</v>
      </c>
    </row>
    <row r="98" spans="1:39" x14ac:dyDescent="0.3">
      <c r="A98" t="str">
        <f>_xlfn.CONCAT(표1[[#This Row],[Year]],표1[[#This Row],[Player]])</f>
        <v>2004박경완</v>
      </c>
      <c r="B98">
        <v>2004</v>
      </c>
      <c r="C98">
        <v>17</v>
      </c>
      <c r="D98" t="s">
        <v>46</v>
      </c>
      <c r="E98" t="s">
        <v>8</v>
      </c>
      <c r="F98">
        <v>0.29499999999999998</v>
      </c>
      <c r="G98">
        <v>132</v>
      </c>
      <c r="H98">
        <v>526</v>
      </c>
      <c r="I98">
        <v>410</v>
      </c>
      <c r="J98">
        <v>94</v>
      </c>
      <c r="K98">
        <v>121</v>
      </c>
      <c r="L98">
        <f>표1[[#This Row],[H]]-표1[[#This Row],[2B]]-표1[[#This Row],[3B]]-표1[[#This Row],[HR]]</f>
        <v>67</v>
      </c>
      <c r="M98">
        <v>19</v>
      </c>
      <c r="N98">
        <v>1</v>
      </c>
      <c r="O98">
        <v>34</v>
      </c>
      <c r="P98">
        <v>244</v>
      </c>
      <c r="Q98">
        <v>79</v>
      </c>
      <c r="R98">
        <v>6</v>
      </c>
      <c r="S98">
        <v>2</v>
      </c>
      <c r="T98">
        <v>94</v>
      </c>
      <c r="U98">
        <v>3</v>
      </c>
      <c r="V98">
        <v>2</v>
      </c>
      <c r="W98">
        <v>5</v>
      </c>
      <c r="X98">
        <v>14</v>
      </c>
      <c r="Y98">
        <v>126</v>
      </c>
      <c r="Z98">
        <v>9</v>
      </c>
      <c r="AA98">
        <v>0.59499999999999997</v>
      </c>
      <c r="AB98">
        <v>0.44</v>
      </c>
      <c r="AC98">
        <v>1.0349999999999999</v>
      </c>
      <c r="AD98">
        <v>33</v>
      </c>
      <c r="AE98">
        <v>0.28699999999999998</v>
      </c>
      <c r="AF98">
        <v>0.2</v>
      </c>
      <c r="AG98">
        <f>(표1[[#This Row],[TB]]-표1[[#This Row],[H]])/표1[[#This Row],[AB]]</f>
        <v>0.3</v>
      </c>
      <c r="AH98">
        <f>(표1[[#This Row],[TB]]-표1[[#This Row],[H]]+표1[[#This Row],[BB]]+표1[[#This Row],[SB]]-표1[[#This Row],[CS]])/표1[[#This Row],[AB]]</f>
        <v>0.52195121951219514</v>
      </c>
      <c r="AI98">
        <f>(표1[[#This Row],[TB]]+표1[[#This Row],[BB]]+표1[[#This Row],[HBP]]+표1[[#This Row],[SB]]-표1[[#This Row],[CS]])/(표1[[#This Row],[AB]]-표1[[#This Row],[H]]+표1[[#This Row],[CS]]+표1[[#This Row],[GDP]])</f>
        <v>1.1518151815181519</v>
      </c>
      <c r="AJ9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113.0180608365019</v>
      </c>
      <c r="AK98">
        <f>표1[[#This Row],[RC]]/((표1[[#This Row],[AB]]-표1[[#This Row],[H]]+표1[[#This Row],[SAC]]+표1[[#This Row],[SF]]+표1[[#This Row],[CS]]+표1[[#This Row],[GDP]])/27)</f>
        <v>9.8118573716577213</v>
      </c>
      <c r="AL9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0.44035783365570591</v>
      </c>
      <c r="AM9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103.02200000000002</v>
      </c>
    </row>
    <row r="99" spans="1:39" x14ac:dyDescent="0.3">
      <c r="A99" t="str">
        <f>_xlfn.CONCAT(표1[[#This Row],[Year]],표1[[#This Row],[Player]])</f>
        <v>2004강동우</v>
      </c>
      <c r="B99">
        <v>2004</v>
      </c>
      <c r="C99">
        <v>18</v>
      </c>
      <c r="D99" t="s">
        <v>39</v>
      </c>
      <c r="E99" t="s">
        <v>6</v>
      </c>
      <c r="F99">
        <v>0.29499999999999998</v>
      </c>
      <c r="G99">
        <v>132</v>
      </c>
      <c r="H99">
        <v>497</v>
      </c>
      <c r="I99">
        <v>438</v>
      </c>
      <c r="J99">
        <v>59</v>
      </c>
      <c r="K99">
        <v>129</v>
      </c>
      <c r="L99">
        <f>표1[[#This Row],[H]]-표1[[#This Row],[2B]]-표1[[#This Row],[3B]]-표1[[#This Row],[HR]]</f>
        <v>103</v>
      </c>
      <c r="M99">
        <v>22</v>
      </c>
      <c r="N99">
        <v>1</v>
      </c>
      <c r="O99">
        <v>3</v>
      </c>
      <c r="P99">
        <v>162</v>
      </c>
      <c r="Q99">
        <v>49</v>
      </c>
      <c r="R99">
        <v>7</v>
      </c>
      <c r="S99">
        <v>1</v>
      </c>
      <c r="T99">
        <v>49</v>
      </c>
      <c r="U99">
        <v>4</v>
      </c>
      <c r="V99">
        <v>9</v>
      </c>
      <c r="W99">
        <v>5</v>
      </c>
      <c r="X99">
        <v>2</v>
      </c>
      <c r="Y99">
        <v>45</v>
      </c>
      <c r="Z99">
        <v>13</v>
      </c>
      <c r="AA99">
        <v>0.37</v>
      </c>
      <c r="AB99">
        <v>0.36699999999999999</v>
      </c>
      <c r="AC99">
        <v>0.73699999999999999</v>
      </c>
      <c r="AD99">
        <v>28</v>
      </c>
      <c r="AE99">
        <v>0.29099999999999998</v>
      </c>
      <c r="AF99">
        <v>0.23100000000000001</v>
      </c>
      <c r="AG99">
        <f>(표1[[#This Row],[TB]]-표1[[#This Row],[H]])/표1[[#This Row],[AB]]</f>
        <v>7.5342465753424653E-2</v>
      </c>
      <c r="AH99">
        <f>(표1[[#This Row],[TB]]-표1[[#This Row],[H]]+표1[[#This Row],[BB]]+표1[[#This Row],[SB]]-표1[[#This Row],[CS]])/표1[[#This Row],[AB]]</f>
        <v>0.19634703196347031</v>
      </c>
      <c r="AI99">
        <f>(표1[[#This Row],[TB]]+표1[[#This Row],[BB]]+표1[[#This Row],[HBP]]+표1[[#This Row],[SB]]-표1[[#This Row],[CS]])/(표1[[#This Row],[AB]]-표1[[#This Row],[H]]+표1[[#This Row],[CS]]+표1[[#This Row],[GDP]])</f>
        <v>0.66360856269113155</v>
      </c>
      <c r="AJ9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59.669456740442655</v>
      </c>
      <c r="AK99">
        <f>표1[[#This Row],[RC]]/((표1[[#This Row],[AB]]-표1[[#This Row],[H]]+표1[[#This Row],[SAC]]+표1[[#This Row],[SF]]+표1[[#This Row],[CS]]+표1[[#This Row],[GDP]])/27)</f>
        <v>4.8091800954983634</v>
      </c>
      <c r="AL9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0.32718518518518519</v>
      </c>
      <c r="AM9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57.370000000000026</v>
      </c>
    </row>
    <row r="100" spans="1:39" x14ac:dyDescent="0.3">
      <c r="A100" t="str">
        <f>_xlfn.CONCAT(표1[[#This Row],[Year]],표1[[#This Row],[Player]])</f>
        <v>2004이숭용</v>
      </c>
      <c r="B100">
        <v>2004</v>
      </c>
      <c r="C100">
        <v>19</v>
      </c>
      <c r="D100" t="s">
        <v>22</v>
      </c>
      <c r="E100" t="s">
        <v>3</v>
      </c>
      <c r="F100">
        <v>0.29299999999999998</v>
      </c>
      <c r="G100">
        <v>133</v>
      </c>
      <c r="H100">
        <v>549</v>
      </c>
      <c r="I100">
        <v>468</v>
      </c>
      <c r="J100">
        <v>60</v>
      </c>
      <c r="K100">
        <v>137</v>
      </c>
      <c r="L100">
        <f>표1[[#This Row],[H]]-표1[[#This Row],[2B]]-표1[[#This Row],[3B]]-표1[[#This Row],[HR]]</f>
        <v>99</v>
      </c>
      <c r="M100">
        <v>29</v>
      </c>
      <c r="N100">
        <v>0</v>
      </c>
      <c r="O100">
        <v>9</v>
      </c>
      <c r="P100">
        <v>193</v>
      </c>
      <c r="Q100">
        <v>85</v>
      </c>
      <c r="R100">
        <v>4</v>
      </c>
      <c r="S100">
        <v>6</v>
      </c>
      <c r="T100">
        <v>58</v>
      </c>
      <c r="U100">
        <v>6</v>
      </c>
      <c r="V100">
        <v>0</v>
      </c>
      <c r="W100">
        <v>3</v>
      </c>
      <c r="X100">
        <v>13</v>
      </c>
      <c r="Y100">
        <v>87</v>
      </c>
      <c r="Z100">
        <v>17</v>
      </c>
      <c r="AA100">
        <v>0.41199999999999998</v>
      </c>
      <c r="AB100">
        <v>0.38200000000000001</v>
      </c>
      <c r="AC100">
        <v>0.79400000000000004</v>
      </c>
      <c r="AD100">
        <v>38</v>
      </c>
      <c r="AE100">
        <v>0.30299999999999999</v>
      </c>
      <c r="AF100">
        <v>0</v>
      </c>
      <c r="AG100">
        <f>(표1[[#This Row],[TB]]-표1[[#This Row],[H]])/표1[[#This Row],[AB]]</f>
        <v>0.11965811965811966</v>
      </c>
      <c r="AH100">
        <f>(표1[[#This Row],[TB]]-표1[[#This Row],[H]]+표1[[#This Row],[BB]]+표1[[#This Row],[SB]]-표1[[#This Row],[CS]])/표1[[#This Row],[AB]]</f>
        <v>0.23717948717948717</v>
      </c>
      <c r="AI100">
        <f>(표1[[#This Row],[TB]]+표1[[#This Row],[BB]]+표1[[#This Row],[HBP]]+표1[[#This Row],[SB]]-표1[[#This Row],[CS]])/(표1[[#This Row],[AB]]-표1[[#This Row],[H]]+표1[[#This Row],[CS]]+표1[[#This Row],[GDP]])</f>
        <v>0.74358974358974361</v>
      </c>
      <c r="AJ10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73.659016393442613</v>
      </c>
      <c r="AK100">
        <f>표1[[#This Row],[RC]]/((표1[[#This Row],[AB]]-표1[[#This Row],[H]]+표1[[#This Row],[SAC]]+표1[[#This Row],[SF]]+표1[[#This Row],[CS]]+표1[[#This Row],[GDP]])/27)</f>
        <v>5.5091231097588658</v>
      </c>
      <c r="AL10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0.34843970315398887</v>
      </c>
      <c r="AM10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71.583999999999975</v>
      </c>
    </row>
    <row r="101" spans="1:39" x14ac:dyDescent="0.3">
      <c r="A101" t="str">
        <f>_xlfn.CONCAT(표1[[#This Row],[Year]],표1[[#This Row],[Player]])</f>
        <v>2004전준호</v>
      </c>
      <c r="B101">
        <v>2004</v>
      </c>
      <c r="C101">
        <v>20</v>
      </c>
      <c r="D101" t="s">
        <v>38</v>
      </c>
      <c r="E101" t="s">
        <v>3</v>
      </c>
      <c r="F101">
        <v>0.29199999999999998</v>
      </c>
      <c r="G101">
        <v>132</v>
      </c>
      <c r="H101">
        <v>581</v>
      </c>
      <c r="I101">
        <v>487</v>
      </c>
      <c r="J101">
        <v>88</v>
      </c>
      <c r="K101">
        <v>142</v>
      </c>
      <c r="L101">
        <f>표1[[#This Row],[H]]-표1[[#This Row],[2B]]-표1[[#This Row],[3B]]-표1[[#This Row],[HR]]</f>
        <v>121</v>
      </c>
      <c r="M101">
        <v>10</v>
      </c>
      <c r="N101">
        <v>7</v>
      </c>
      <c r="O101">
        <v>4</v>
      </c>
      <c r="P101">
        <v>178</v>
      </c>
      <c r="Q101">
        <v>48</v>
      </c>
      <c r="R101">
        <v>24</v>
      </c>
      <c r="S101">
        <v>2</v>
      </c>
      <c r="T101">
        <v>63</v>
      </c>
      <c r="U101">
        <v>2</v>
      </c>
      <c r="V101">
        <v>53</v>
      </c>
      <c r="W101">
        <v>7</v>
      </c>
      <c r="X101">
        <v>5</v>
      </c>
      <c r="Y101">
        <v>64</v>
      </c>
      <c r="Z101">
        <v>4</v>
      </c>
      <c r="AA101">
        <v>0.36599999999999999</v>
      </c>
      <c r="AB101">
        <v>0.377</v>
      </c>
      <c r="AC101">
        <v>0.74299999999999999</v>
      </c>
      <c r="AD101">
        <v>39</v>
      </c>
      <c r="AE101">
        <v>0.314</v>
      </c>
      <c r="AF101">
        <v>1</v>
      </c>
      <c r="AG101">
        <f>(표1[[#This Row],[TB]]-표1[[#This Row],[H]])/표1[[#This Row],[AB]]</f>
        <v>7.3921971252566734E-2</v>
      </c>
      <c r="AH101">
        <f>(표1[[#This Row],[TB]]-표1[[#This Row],[H]]+표1[[#This Row],[BB]]+표1[[#This Row],[SB]]-표1[[#This Row],[CS]])/표1[[#This Row],[AB]]</f>
        <v>0.29774127310061604</v>
      </c>
      <c r="AI101">
        <f>(표1[[#This Row],[TB]]+표1[[#This Row],[BB]]+표1[[#This Row],[HBP]]+표1[[#This Row],[SB]]-표1[[#This Row],[CS]])/(표1[[#This Row],[AB]]-표1[[#This Row],[H]]+표1[[#This Row],[CS]]+표1[[#This Row],[GDP]])</f>
        <v>0.8202247191011236</v>
      </c>
      <c r="AJ10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80.915249569707399</v>
      </c>
      <c r="AK101">
        <f>표1[[#This Row],[RC]]/((표1[[#This Row],[AB]]-표1[[#This Row],[H]]+표1[[#This Row],[SAC]]+표1[[#This Row],[SF]]+표1[[#This Row],[CS]]+표1[[#This Row],[GDP]])/27)</f>
        <v>5.7191406763929313</v>
      </c>
      <c r="AL10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0.33275315315315313</v>
      </c>
      <c r="AM10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79.637999999999977</v>
      </c>
    </row>
    <row r="102" spans="1:39" x14ac:dyDescent="0.3">
      <c r="A102" t="str">
        <f>_xlfn.CONCAT(표1[[#This Row],[Year]],표1[[#This Row],[Player]])</f>
        <v>2004데이비스</v>
      </c>
      <c r="B102">
        <v>2004</v>
      </c>
      <c r="C102">
        <v>21</v>
      </c>
      <c r="D102" t="s">
        <v>56</v>
      </c>
      <c r="E102" t="s">
        <v>11</v>
      </c>
      <c r="F102">
        <v>0.29099999999999998</v>
      </c>
      <c r="G102">
        <v>119</v>
      </c>
      <c r="H102">
        <v>510</v>
      </c>
      <c r="I102">
        <v>440</v>
      </c>
      <c r="J102">
        <v>70</v>
      </c>
      <c r="K102">
        <v>128</v>
      </c>
      <c r="L102">
        <f>표1[[#This Row],[H]]-표1[[#This Row],[2B]]-표1[[#This Row],[3B]]-표1[[#This Row],[HR]]</f>
        <v>82</v>
      </c>
      <c r="M102">
        <v>26</v>
      </c>
      <c r="N102">
        <v>1</v>
      </c>
      <c r="O102">
        <v>19</v>
      </c>
      <c r="P102">
        <v>213</v>
      </c>
      <c r="Q102">
        <v>77</v>
      </c>
      <c r="R102">
        <v>2</v>
      </c>
      <c r="S102">
        <v>4</v>
      </c>
      <c r="T102">
        <v>61</v>
      </c>
      <c r="U102">
        <v>4</v>
      </c>
      <c r="V102">
        <v>9</v>
      </c>
      <c r="W102">
        <v>5</v>
      </c>
      <c r="X102">
        <v>3</v>
      </c>
      <c r="Y102">
        <v>89</v>
      </c>
      <c r="Z102">
        <v>12</v>
      </c>
      <c r="AA102">
        <v>0.48399999999999999</v>
      </c>
      <c r="AB102">
        <v>0.378</v>
      </c>
      <c r="AC102">
        <v>0.86199999999999999</v>
      </c>
      <c r="AD102">
        <v>37</v>
      </c>
      <c r="AE102">
        <v>0.27</v>
      </c>
      <c r="AF102">
        <v>1</v>
      </c>
      <c r="AG102">
        <f>(표1[[#This Row],[TB]]-표1[[#This Row],[H]])/표1[[#This Row],[AB]]</f>
        <v>0.19318181818181818</v>
      </c>
      <c r="AH102">
        <f>(표1[[#This Row],[TB]]-표1[[#This Row],[H]]+표1[[#This Row],[BB]]+표1[[#This Row],[SB]]-표1[[#This Row],[CS]])/표1[[#This Row],[AB]]</f>
        <v>0.34090909090909088</v>
      </c>
      <c r="AI102">
        <f>(표1[[#This Row],[TB]]+표1[[#This Row],[BB]]+표1[[#This Row],[HBP]]+표1[[#This Row],[SB]]-표1[[#This Row],[CS]])/(표1[[#This Row],[AB]]-표1[[#This Row],[H]]+표1[[#This Row],[CS]]+표1[[#This Row],[GDP]])</f>
        <v>0.85410334346504557</v>
      </c>
      <c r="AJ10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81.117647058823536</v>
      </c>
      <c r="AK102">
        <f>표1[[#This Row],[RC]]/((표1[[#This Row],[AB]]-표1[[#This Row],[H]]+표1[[#This Row],[SAC]]+표1[[#This Row],[SF]]+표1[[#This Row],[CS]]+표1[[#This Row],[GDP]])/27)</f>
        <v>6.5378402107111508</v>
      </c>
      <c r="AL10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0.37186111111111109</v>
      </c>
      <c r="AM10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77.868000000000038</v>
      </c>
    </row>
    <row r="103" spans="1:39" x14ac:dyDescent="0.3">
      <c r="A103" t="str">
        <f>_xlfn.CONCAT(표1[[#This Row],[Year]],표1[[#This Row],[Player]])</f>
        <v>2004마틴</v>
      </c>
      <c r="B103">
        <v>2004</v>
      </c>
      <c r="C103">
        <v>22</v>
      </c>
      <c r="D103" t="s">
        <v>57</v>
      </c>
      <c r="E103" t="s">
        <v>36</v>
      </c>
      <c r="F103">
        <v>0.29099999999999998</v>
      </c>
      <c r="G103">
        <v>107</v>
      </c>
      <c r="H103">
        <v>420</v>
      </c>
      <c r="I103">
        <v>358</v>
      </c>
      <c r="J103">
        <v>45</v>
      </c>
      <c r="K103">
        <v>104</v>
      </c>
      <c r="L103">
        <f>표1[[#This Row],[H]]-표1[[#This Row],[2B]]-표1[[#This Row],[3B]]-표1[[#This Row],[HR]]</f>
        <v>75</v>
      </c>
      <c r="M103">
        <v>16</v>
      </c>
      <c r="N103">
        <v>4</v>
      </c>
      <c r="O103">
        <v>9</v>
      </c>
      <c r="P103">
        <v>155</v>
      </c>
      <c r="Q103">
        <v>52</v>
      </c>
      <c r="R103">
        <v>0</v>
      </c>
      <c r="S103">
        <v>5</v>
      </c>
      <c r="T103">
        <v>51</v>
      </c>
      <c r="U103">
        <v>3</v>
      </c>
      <c r="V103">
        <v>7</v>
      </c>
      <c r="W103">
        <v>0</v>
      </c>
      <c r="X103">
        <v>6</v>
      </c>
      <c r="Y103">
        <v>57</v>
      </c>
      <c r="Z103">
        <v>7</v>
      </c>
      <c r="AA103">
        <v>0.433</v>
      </c>
      <c r="AB103">
        <v>0.38300000000000001</v>
      </c>
      <c r="AC103">
        <v>0.81599999999999995</v>
      </c>
      <c r="AD103">
        <v>26</v>
      </c>
      <c r="AE103">
        <v>0.312</v>
      </c>
      <c r="AF103">
        <v>0</v>
      </c>
      <c r="AG103">
        <f>(표1[[#This Row],[TB]]-표1[[#This Row],[H]])/표1[[#This Row],[AB]]</f>
        <v>0.14245810055865921</v>
      </c>
      <c r="AH103">
        <f>(표1[[#This Row],[TB]]-표1[[#This Row],[H]]+표1[[#This Row],[BB]]+표1[[#This Row],[SB]]-표1[[#This Row],[CS]])/표1[[#This Row],[AB]]</f>
        <v>0.30446927374301674</v>
      </c>
      <c r="AI103">
        <f>(표1[[#This Row],[TB]]+표1[[#This Row],[BB]]+표1[[#This Row],[HBP]]+표1[[#This Row],[SB]]-표1[[#This Row],[CS]])/(표1[[#This Row],[AB]]-표1[[#This Row],[H]]+표1[[#This Row],[CS]]+표1[[#This Row],[GDP]])</f>
        <v>0.83908045977011492</v>
      </c>
      <c r="AJ10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64.269333333333336</v>
      </c>
      <c r="AK103">
        <f>표1[[#This Row],[RC]]/((표1[[#This Row],[AB]]-표1[[#This Row],[H]]+표1[[#This Row],[SAC]]+표1[[#This Row],[SF]]+표1[[#This Row],[CS]]+표1[[#This Row],[GDP]])/27)</f>
        <v>6.5235789473684216</v>
      </c>
      <c r="AL10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0.35684892086330933</v>
      </c>
      <c r="AM10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62.453999999999986</v>
      </c>
    </row>
    <row r="104" spans="1:39" x14ac:dyDescent="0.3">
      <c r="A104" t="str">
        <f>_xlfn.CONCAT(표1[[#This Row],[Year]],표1[[#This Row],[Player]])</f>
        <v>2004김동주</v>
      </c>
      <c r="B104">
        <v>2004</v>
      </c>
      <c r="C104">
        <v>23</v>
      </c>
      <c r="D104" t="s">
        <v>0</v>
      </c>
      <c r="E104" t="s">
        <v>1</v>
      </c>
      <c r="F104">
        <v>0.28599999999999998</v>
      </c>
      <c r="G104">
        <v>124</v>
      </c>
      <c r="H104">
        <v>517</v>
      </c>
      <c r="I104">
        <v>430</v>
      </c>
      <c r="J104">
        <v>72</v>
      </c>
      <c r="K104">
        <v>123</v>
      </c>
      <c r="L104">
        <f>표1[[#This Row],[H]]-표1[[#This Row],[2B]]-표1[[#This Row],[3B]]-표1[[#This Row],[HR]]</f>
        <v>84</v>
      </c>
      <c r="M104">
        <v>19</v>
      </c>
      <c r="N104">
        <v>1</v>
      </c>
      <c r="O104">
        <v>19</v>
      </c>
      <c r="P104">
        <v>201</v>
      </c>
      <c r="Q104">
        <v>76</v>
      </c>
      <c r="R104">
        <v>0</v>
      </c>
      <c r="S104">
        <v>2</v>
      </c>
      <c r="T104">
        <v>69</v>
      </c>
      <c r="U104">
        <v>3</v>
      </c>
      <c r="V104">
        <v>4</v>
      </c>
      <c r="W104">
        <v>6</v>
      </c>
      <c r="X104">
        <v>16</v>
      </c>
      <c r="Y104">
        <v>67</v>
      </c>
      <c r="Z104">
        <v>14</v>
      </c>
      <c r="AA104">
        <v>0.46700000000000003</v>
      </c>
      <c r="AB104">
        <v>0.40200000000000002</v>
      </c>
      <c r="AC104">
        <v>0.86899999999999999</v>
      </c>
      <c r="AD104">
        <v>30</v>
      </c>
      <c r="AE104">
        <v>0.313</v>
      </c>
      <c r="AF104">
        <v>1</v>
      </c>
      <c r="AG104">
        <f>(표1[[#This Row],[TB]]-표1[[#This Row],[H]])/표1[[#This Row],[AB]]</f>
        <v>0.18139534883720931</v>
      </c>
      <c r="AH104">
        <f>(표1[[#This Row],[TB]]-표1[[#This Row],[H]]+표1[[#This Row],[BB]]+표1[[#This Row],[SB]]-표1[[#This Row],[CS]])/표1[[#This Row],[AB]]</f>
        <v>0.33720930232558138</v>
      </c>
      <c r="AI104">
        <f>(표1[[#This Row],[TB]]+표1[[#This Row],[BB]]+표1[[#This Row],[HBP]]+표1[[#This Row],[SB]]-표1[[#This Row],[CS]])/(표1[[#This Row],[AB]]-표1[[#This Row],[H]]+표1[[#This Row],[CS]]+표1[[#This Row],[GDP]])</f>
        <v>0.86850152905198774</v>
      </c>
      <c r="AJ10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81.978181818181824</v>
      </c>
      <c r="AK104">
        <f>표1[[#This Row],[RC]]/((표1[[#This Row],[AB]]-표1[[#This Row],[H]]+표1[[#This Row],[SAC]]+표1[[#This Row],[SF]]+표1[[#This Row],[CS]]+표1[[#This Row],[GDP]])/27)</f>
        <v>6.7276927327991158</v>
      </c>
      <c r="AL10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0.38130739299610894</v>
      </c>
      <c r="AM10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78.903999999999982</v>
      </c>
    </row>
    <row r="105" spans="1:39" x14ac:dyDescent="0.3">
      <c r="A105" t="str">
        <f>_xlfn.CONCAT(표1[[#This Row],[Year]],표1[[#This Row],[Player]])</f>
        <v>2004박진만</v>
      </c>
      <c r="B105">
        <v>2004</v>
      </c>
      <c r="C105">
        <v>24</v>
      </c>
      <c r="D105" t="s">
        <v>31</v>
      </c>
      <c r="E105" t="s">
        <v>3</v>
      </c>
      <c r="F105">
        <v>0.28599999999999998</v>
      </c>
      <c r="G105">
        <v>129</v>
      </c>
      <c r="H105">
        <v>506</v>
      </c>
      <c r="I105">
        <v>434</v>
      </c>
      <c r="J105">
        <v>65</v>
      </c>
      <c r="K105">
        <v>124</v>
      </c>
      <c r="L105">
        <f>표1[[#This Row],[H]]-표1[[#This Row],[2B]]-표1[[#This Row],[3B]]-표1[[#This Row],[HR]]</f>
        <v>89</v>
      </c>
      <c r="M105">
        <v>18</v>
      </c>
      <c r="N105">
        <v>0</v>
      </c>
      <c r="O105">
        <v>17</v>
      </c>
      <c r="P105">
        <v>193</v>
      </c>
      <c r="Q105">
        <v>69</v>
      </c>
      <c r="R105">
        <v>10</v>
      </c>
      <c r="S105">
        <v>5</v>
      </c>
      <c r="T105">
        <v>48</v>
      </c>
      <c r="U105">
        <v>2</v>
      </c>
      <c r="V105">
        <v>6</v>
      </c>
      <c r="W105">
        <v>3</v>
      </c>
      <c r="X105">
        <v>9</v>
      </c>
      <c r="Y105">
        <v>67</v>
      </c>
      <c r="Z105">
        <v>10</v>
      </c>
      <c r="AA105">
        <v>0.44500000000000001</v>
      </c>
      <c r="AB105">
        <v>0.36499999999999999</v>
      </c>
      <c r="AC105">
        <v>0.81</v>
      </c>
      <c r="AD105">
        <v>34</v>
      </c>
      <c r="AE105">
        <v>0.29499999999999998</v>
      </c>
      <c r="AF105">
        <v>1</v>
      </c>
      <c r="AG105">
        <f>(표1[[#This Row],[TB]]-표1[[#This Row],[H]])/표1[[#This Row],[AB]]</f>
        <v>0.15898617511520738</v>
      </c>
      <c r="AH105">
        <f>(표1[[#This Row],[TB]]-표1[[#This Row],[H]]+표1[[#This Row],[BB]]+표1[[#This Row],[SB]]-표1[[#This Row],[CS]])/표1[[#This Row],[AB]]</f>
        <v>0.27649769585253459</v>
      </c>
      <c r="AI105">
        <f>(표1[[#This Row],[TB]]+표1[[#This Row],[BB]]+표1[[#This Row],[HBP]]+표1[[#This Row],[SB]]-표1[[#This Row],[CS]])/(표1[[#This Row],[AB]]-표1[[#This Row],[H]]+표1[[#This Row],[CS]]+표1[[#This Row],[GDP]])</f>
        <v>0.78328173374613008</v>
      </c>
      <c r="AJ10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72.452490118577074</v>
      </c>
      <c r="AK105">
        <f>표1[[#This Row],[RC]]/((표1[[#This Row],[AB]]-표1[[#This Row],[H]]+표1[[#This Row],[SAC]]+표1[[#This Row],[SF]]+표1[[#This Row],[CS]]+표1[[#This Row],[GDP]])/27)</f>
        <v>5.7876249503005353</v>
      </c>
      <c r="AL10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0.35338461538461541</v>
      </c>
      <c r="AM10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71.373999999999995</v>
      </c>
    </row>
    <row r="106" spans="1:39" x14ac:dyDescent="0.3">
      <c r="A106" t="str">
        <f>_xlfn.CONCAT(표1[[#This Row],[Year]],표1[[#This Row],[Player]])</f>
        <v>2004장원진</v>
      </c>
      <c r="B106">
        <v>2004</v>
      </c>
      <c r="C106">
        <v>25</v>
      </c>
      <c r="D106" t="s">
        <v>25</v>
      </c>
      <c r="E106" t="s">
        <v>1</v>
      </c>
      <c r="F106">
        <v>0.28399999999999997</v>
      </c>
      <c r="G106">
        <v>130</v>
      </c>
      <c r="H106">
        <v>486</v>
      </c>
      <c r="I106">
        <v>429</v>
      </c>
      <c r="J106">
        <v>51</v>
      </c>
      <c r="K106">
        <v>122</v>
      </c>
      <c r="L106">
        <f>표1[[#This Row],[H]]-표1[[#This Row],[2B]]-표1[[#This Row],[3B]]-표1[[#This Row],[HR]]</f>
        <v>98</v>
      </c>
      <c r="M106">
        <v>15</v>
      </c>
      <c r="N106">
        <v>4</v>
      </c>
      <c r="O106">
        <v>5</v>
      </c>
      <c r="P106">
        <v>160</v>
      </c>
      <c r="Q106">
        <v>49</v>
      </c>
      <c r="R106">
        <v>5</v>
      </c>
      <c r="S106">
        <v>3</v>
      </c>
      <c r="T106">
        <v>44</v>
      </c>
      <c r="U106">
        <v>1</v>
      </c>
      <c r="V106">
        <v>5</v>
      </c>
      <c r="W106">
        <v>8</v>
      </c>
      <c r="X106">
        <v>5</v>
      </c>
      <c r="Y106">
        <v>54</v>
      </c>
      <c r="Z106">
        <v>5</v>
      </c>
      <c r="AA106">
        <v>0.373</v>
      </c>
      <c r="AB106">
        <v>0.35599999999999998</v>
      </c>
      <c r="AC106">
        <v>0.72899999999999998</v>
      </c>
      <c r="AD106">
        <v>37</v>
      </c>
      <c r="AE106">
        <v>0.28699999999999998</v>
      </c>
      <c r="AF106">
        <v>0.14299999999999999</v>
      </c>
      <c r="AG106">
        <f>(표1[[#This Row],[TB]]-표1[[#This Row],[H]])/표1[[#This Row],[AB]]</f>
        <v>8.8578088578088576E-2</v>
      </c>
      <c r="AH106">
        <f>(표1[[#This Row],[TB]]-표1[[#This Row],[H]]+표1[[#This Row],[BB]]+표1[[#This Row],[SB]]-표1[[#This Row],[CS]])/표1[[#This Row],[AB]]</f>
        <v>0.18414918414918416</v>
      </c>
      <c r="AI106">
        <f>(표1[[#This Row],[TB]]+표1[[#This Row],[BB]]+표1[[#This Row],[HBP]]+표1[[#This Row],[SB]]-표1[[#This Row],[CS]])/(표1[[#This Row],[AB]]-표1[[#This Row],[H]]+표1[[#This Row],[CS]]+표1[[#This Row],[GDP]])</f>
        <v>0.64375000000000004</v>
      </c>
      <c r="AJ10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58.271440329218102</v>
      </c>
      <c r="AK106">
        <f>표1[[#This Row],[RC]]/((표1[[#This Row],[AB]]-표1[[#This Row],[H]]+표1[[#This Row],[SAC]]+표1[[#This Row],[SF]]+표1[[#This Row],[CS]]+표1[[#This Row],[GDP]])/27)</f>
        <v>4.7967344173441724</v>
      </c>
      <c r="AL10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0.32390000000000002</v>
      </c>
      <c r="AM10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57.467999999999989</v>
      </c>
    </row>
    <row r="107" spans="1:39" x14ac:dyDescent="0.3">
      <c r="A107" t="str">
        <f>_xlfn.CONCAT(표1[[#This Row],[Year]],표1[[#This Row],[Player]])</f>
        <v>2004손인호</v>
      </c>
      <c r="B107">
        <v>2004</v>
      </c>
      <c r="C107">
        <v>26</v>
      </c>
      <c r="D107" t="s">
        <v>58</v>
      </c>
      <c r="E107" t="s">
        <v>17</v>
      </c>
      <c r="F107">
        <v>0.28399999999999997</v>
      </c>
      <c r="G107">
        <v>122</v>
      </c>
      <c r="H107">
        <v>480</v>
      </c>
      <c r="I107">
        <v>408</v>
      </c>
      <c r="J107">
        <v>54</v>
      </c>
      <c r="K107">
        <v>116</v>
      </c>
      <c r="L107">
        <f>표1[[#This Row],[H]]-표1[[#This Row],[2B]]-표1[[#This Row],[3B]]-표1[[#This Row],[HR]]</f>
        <v>88</v>
      </c>
      <c r="M107">
        <v>21</v>
      </c>
      <c r="N107">
        <v>2</v>
      </c>
      <c r="O107">
        <v>5</v>
      </c>
      <c r="P107">
        <v>156</v>
      </c>
      <c r="Q107">
        <v>42</v>
      </c>
      <c r="R107">
        <v>1</v>
      </c>
      <c r="S107">
        <v>4</v>
      </c>
      <c r="T107">
        <v>62</v>
      </c>
      <c r="U107">
        <v>2</v>
      </c>
      <c r="V107">
        <v>3</v>
      </c>
      <c r="W107">
        <v>2</v>
      </c>
      <c r="X107">
        <v>5</v>
      </c>
      <c r="Y107">
        <v>75</v>
      </c>
      <c r="Z107">
        <v>5</v>
      </c>
      <c r="AA107">
        <v>0.38200000000000001</v>
      </c>
      <c r="AB107">
        <v>0.38200000000000001</v>
      </c>
      <c r="AC107">
        <v>0.76400000000000001</v>
      </c>
      <c r="AD107">
        <v>29</v>
      </c>
      <c r="AE107">
        <v>0.25900000000000001</v>
      </c>
      <c r="AF107">
        <v>0.33300000000000002</v>
      </c>
      <c r="AG107">
        <f>(표1[[#This Row],[TB]]-표1[[#This Row],[H]])/표1[[#This Row],[AB]]</f>
        <v>9.8039215686274508E-2</v>
      </c>
      <c r="AH107">
        <f>(표1[[#This Row],[TB]]-표1[[#This Row],[H]]+표1[[#This Row],[BB]]+표1[[#This Row],[SB]]-표1[[#This Row],[CS]])/표1[[#This Row],[AB]]</f>
        <v>0.25245098039215685</v>
      </c>
      <c r="AI107">
        <f>(표1[[#This Row],[TB]]+표1[[#This Row],[BB]]+표1[[#This Row],[HBP]]+표1[[#This Row],[SB]]-표1[[#This Row],[CS]])/(표1[[#This Row],[AB]]-표1[[#This Row],[H]]+표1[[#This Row],[CS]]+표1[[#This Row],[GDP]])</f>
        <v>0.74916387959866215</v>
      </c>
      <c r="AJ10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64.921999999999997</v>
      </c>
      <c r="AK107">
        <f>표1[[#This Row],[RC]]/((표1[[#This Row],[AB]]-표1[[#This Row],[H]]+표1[[#This Row],[SAC]]+표1[[#This Row],[SF]]+표1[[#This Row],[CS]]+표1[[#This Row],[GDP]])/27)</f>
        <v>5.766098684210526</v>
      </c>
      <c r="AL10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0.3411635220125786</v>
      </c>
      <c r="AM10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63.689999999999991</v>
      </c>
    </row>
    <row r="108" spans="1:39" x14ac:dyDescent="0.3">
      <c r="A108" t="str">
        <f>_xlfn.CONCAT(표1[[#This Row],[Year]],표1[[#This Row],[Player]])</f>
        <v>2004심재학</v>
      </c>
      <c r="B108">
        <v>2004</v>
      </c>
      <c r="C108">
        <v>27</v>
      </c>
      <c r="D108" t="s">
        <v>59</v>
      </c>
      <c r="E108" t="s">
        <v>13</v>
      </c>
      <c r="F108">
        <v>0.28199999999999997</v>
      </c>
      <c r="G108">
        <v>128</v>
      </c>
      <c r="H108">
        <v>469</v>
      </c>
      <c r="I108">
        <v>372</v>
      </c>
      <c r="J108">
        <v>64</v>
      </c>
      <c r="K108">
        <v>105</v>
      </c>
      <c r="L108">
        <f>표1[[#This Row],[H]]-표1[[#This Row],[2B]]-표1[[#This Row],[3B]]-표1[[#This Row],[HR]]</f>
        <v>58</v>
      </c>
      <c r="M108">
        <v>23</v>
      </c>
      <c r="N108">
        <v>2</v>
      </c>
      <c r="O108">
        <v>22</v>
      </c>
      <c r="P108">
        <v>198</v>
      </c>
      <c r="Q108">
        <v>81</v>
      </c>
      <c r="R108">
        <v>3</v>
      </c>
      <c r="S108">
        <v>9</v>
      </c>
      <c r="T108">
        <v>79</v>
      </c>
      <c r="U108">
        <v>4</v>
      </c>
      <c r="V108">
        <v>1</v>
      </c>
      <c r="W108">
        <v>4</v>
      </c>
      <c r="X108">
        <v>6</v>
      </c>
      <c r="Y108">
        <v>54</v>
      </c>
      <c r="Z108">
        <v>7</v>
      </c>
      <c r="AA108">
        <v>0.53200000000000003</v>
      </c>
      <c r="AB108">
        <v>0.40799999999999997</v>
      </c>
      <c r="AC108">
        <v>0.94</v>
      </c>
      <c r="AD108">
        <v>25</v>
      </c>
      <c r="AE108">
        <v>0.34599999999999997</v>
      </c>
      <c r="AF108">
        <v>0.66700000000000004</v>
      </c>
      <c r="AG108">
        <f>(표1[[#This Row],[TB]]-표1[[#This Row],[H]])/표1[[#This Row],[AB]]</f>
        <v>0.25</v>
      </c>
      <c r="AH108">
        <f>(표1[[#This Row],[TB]]-표1[[#This Row],[H]]+표1[[#This Row],[BB]]+표1[[#This Row],[SB]]-표1[[#This Row],[CS]])/표1[[#This Row],[AB]]</f>
        <v>0.45430107526881719</v>
      </c>
      <c r="AI108">
        <f>(표1[[#This Row],[TB]]+표1[[#This Row],[BB]]+표1[[#This Row],[HBP]]+표1[[#This Row],[SB]]-표1[[#This Row],[CS]])/(표1[[#This Row],[AB]]-표1[[#This Row],[H]]+표1[[#This Row],[CS]]+표1[[#This Row],[GDP]])</f>
        <v>1.0071942446043165</v>
      </c>
      <c r="AJ10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86.187164179104471</v>
      </c>
      <c r="AK108">
        <f>표1[[#This Row],[RC]]/((표1[[#This Row],[AB]]-표1[[#This Row],[H]]+표1[[#This Row],[SAC]]+표1[[#This Row],[SF]]+표1[[#This Row],[CS]]+표1[[#This Row],[GDP]])/27)</f>
        <v>8.0243221821924848</v>
      </c>
      <c r="AL10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0.40000432900432903</v>
      </c>
      <c r="AM10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83.158000000000001</v>
      </c>
    </row>
    <row r="109" spans="1:39" x14ac:dyDescent="0.3">
      <c r="A109" t="str">
        <f>_xlfn.CONCAT(표1[[#This Row],[Year]],표1[[#This Row],[Player]])</f>
        <v>2004박종호</v>
      </c>
      <c r="B109">
        <v>2004</v>
      </c>
      <c r="C109">
        <v>28</v>
      </c>
      <c r="D109" t="s">
        <v>23</v>
      </c>
      <c r="E109" t="s">
        <v>6</v>
      </c>
      <c r="F109">
        <v>0.28199999999999997</v>
      </c>
      <c r="G109">
        <v>132</v>
      </c>
      <c r="H109">
        <v>587</v>
      </c>
      <c r="I109">
        <v>514</v>
      </c>
      <c r="J109">
        <v>78</v>
      </c>
      <c r="K109">
        <v>145</v>
      </c>
      <c r="L109">
        <f>표1[[#This Row],[H]]-표1[[#This Row],[2B]]-표1[[#This Row],[3B]]-표1[[#This Row],[HR]]</f>
        <v>112</v>
      </c>
      <c r="M109">
        <v>25</v>
      </c>
      <c r="N109">
        <v>0</v>
      </c>
      <c r="O109">
        <v>8</v>
      </c>
      <c r="P109">
        <v>194</v>
      </c>
      <c r="Q109">
        <v>59</v>
      </c>
      <c r="R109">
        <v>13</v>
      </c>
      <c r="S109">
        <v>4</v>
      </c>
      <c r="T109">
        <v>47</v>
      </c>
      <c r="U109">
        <v>0</v>
      </c>
      <c r="V109">
        <v>7</v>
      </c>
      <c r="W109">
        <v>2</v>
      </c>
      <c r="X109">
        <v>9</v>
      </c>
      <c r="Y109">
        <v>55</v>
      </c>
      <c r="Z109">
        <v>10</v>
      </c>
      <c r="AA109">
        <v>0.377</v>
      </c>
      <c r="AB109">
        <v>0.35</v>
      </c>
      <c r="AC109">
        <v>0.72699999999999998</v>
      </c>
      <c r="AD109">
        <v>41</v>
      </c>
      <c r="AE109">
        <v>0.26600000000000001</v>
      </c>
      <c r="AF109">
        <v>0</v>
      </c>
      <c r="AG109">
        <f>(표1[[#This Row],[TB]]-표1[[#This Row],[H]])/표1[[#This Row],[AB]]</f>
        <v>9.5330739299610889E-2</v>
      </c>
      <c r="AH109">
        <f>(표1[[#This Row],[TB]]-표1[[#This Row],[H]]+표1[[#This Row],[BB]]+표1[[#This Row],[SB]]-표1[[#This Row],[CS]])/표1[[#This Row],[AB]]</f>
        <v>0.19649805447470817</v>
      </c>
      <c r="AI109">
        <f>(표1[[#This Row],[TB]]+표1[[#This Row],[BB]]+표1[[#This Row],[HBP]]+표1[[#This Row],[SB]]-표1[[#This Row],[CS]])/(표1[[#This Row],[AB]]-표1[[#This Row],[H]]+표1[[#This Row],[CS]]+표1[[#This Row],[GDP]])</f>
        <v>0.6692913385826772</v>
      </c>
      <c r="AJ10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71.169608177172051</v>
      </c>
      <c r="AK109">
        <f>표1[[#This Row],[RC]]/((표1[[#This Row],[AB]]-표1[[#This Row],[H]]+표1[[#This Row],[SAC]]+표1[[#This Row],[SF]]+표1[[#This Row],[CS]]+표1[[#This Row],[GDP]])/27)</f>
        <v>4.8280889969438325</v>
      </c>
      <c r="AL10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0.32381881533101048</v>
      </c>
      <c r="AM10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69.83</v>
      </c>
    </row>
    <row r="110" spans="1:39" x14ac:dyDescent="0.3">
      <c r="A110" t="str">
        <f>_xlfn.CONCAT(표1[[#This Row],[Year]],표1[[#This Row],[Player]])</f>
        <v>2004마해영</v>
      </c>
      <c r="B110">
        <v>2004</v>
      </c>
      <c r="C110">
        <v>29</v>
      </c>
      <c r="D110" t="s">
        <v>24</v>
      </c>
      <c r="E110" t="s">
        <v>13</v>
      </c>
      <c r="F110">
        <v>0.28100000000000003</v>
      </c>
      <c r="G110">
        <v>124</v>
      </c>
      <c r="H110">
        <v>519</v>
      </c>
      <c r="I110">
        <v>437</v>
      </c>
      <c r="J110">
        <v>54</v>
      </c>
      <c r="K110">
        <v>123</v>
      </c>
      <c r="L110">
        <f>표1[[#This Row],[H]]-표1[[#This Row],[2B]]-표1[[#This Row],[3B]]-표1[[#This Row],[HR]]</f>
        <v>96</v>
      </c>
      <c r="M110">
        <v>16</v>
      </c>
      <c r="N110">
        <v>0</v>
      </c>
      <c r="O110">
        <v>11</v>
      </c>
      <c r="P110">
        <v>172</v>
      </c>
      <c r="Q110">
        <v>71</v>
      </c>
      <c r="R110">
        <v>1</v>
      </c>
      <c r="S110">
        <v>11</v>
      </c>
      <c r="T110">
        <v>56</v>
      </c>
      <c r="U110">
        <v>4</v>
      </c>
      <c r="V110">
        <v>4</v>
      </c>
      <c r="W110">
        <v>3</v>
      </c>
      <c r="X110">
        <v>14</v>
      </c>
      <c r="Y110">
        <v>68</v>
      </c>
      <c r="Z110">
        <v>19</v>
      </c>
      <c r="AA110">
        <v>0.39400000000000002</v>
      </c>
      <c r="AB110">
        <v>0.373</v>
      </c>
      <c r="AC110">
        <v>0.76700000000000002</v>
      </c>
      <c r="AD110">
        <v>29</v>
      </c>
      <c r="AE110">
        <v>0.28899999999999998</v>
      </c>
      <c r="AF110">
        <v>0.66700000000000004</v>
      </c>
      <c r="AG110">
        <f>(표1[[#This Row],[TB]]-표1[[#This Row],[H]])/표1[[#This Row],[AB]]</f>
        <v>0.11212814645308924</v>
      </c>
      <c r="AH110">
        <f>(표1[[#This Row],[TB]]-표1[[#This Row],[H]]+표1[[#This Row],[BB]]+표1[[#This Row],[SB]]-표1[[#This Row],[CS]])/표1[[#This Row],[AB]]</f>
        <v>0.24256292906178489</v>
      </c>
      <c r="AI110">
        <f>(표1[[#This Row],[TB]]+표1[[#This Row],[BB]]+표1[[#This Row],[HBP]]+표1[[#This Row],[SB]]-표1[[#This Row],[CS]])/(표1[[#This Row],[AB]]-표1[[#This Row],[H]]+표1[[#This Row],[CS]]+표1[[#This Row],[GDP]])</f>
        <v>0.7232142857142857</v>
      </c>
      <c r="AJ11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65.065664739884397</v>
      </c>
      <c r="AK110">
        <f>표1[[#This Row],[RC]]/((표1[[#This Row],[AB]]-표1[[#This Row],[H]]+표1[[#This Row],[SAC]]+표1[[#This Row],[SF]]+표1[[#This Row],[CS]]+표1[[#This Row],[GDP]])/27)</f>
        <v>5.048198126370341</v>
      </c>
      <c r="AL11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0.33784824902723737</v>
      </c>
      <c r="AM11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66.835999999999999</v>
      </c>
    </row>
    <row r="111" spans="1:39" x14ac:dyDescent="0.3">
      <c r="A111" t="str">
        <f>_xlfn.CONCAT(표1[[#This Row],[Year]],표1[[#This Row],[Player]])</f>
        <v>2004이호준</v>
      </c>
      <c r="B111">
        <v>2004</v>
      </c>
      <c r="C111">
        <v>30</v>
      </c>
      <c r="D111" t="s">
        <v>27</v>
      </c>
      <c r="E111" t="s">
        <v>8</v>
      </c>
      <c r="F111">
        <v>0.28000000000000003</v>
      </c>
      <c r="G111">
        <v>133</v>
      </c>
      <c r="H111">
        <v>578</v>
      </c>
      <c r="I111">
        <v>497</v>
      </c>
      <c r="J111">
        <v>87</v>
      </c>
      <c r="K111">
        <v>139</v>
      </c>
      <c r="L111">
        <f>표1[[#This Row],[H]]-표1[[#This Row],[2B]]-표1[[#This Row],[3B]]-표1[[#This Row],[HR]]</f>
        <v>85</v>
      </c>
      <c r="M111">
        <v>22</v>
      </c>
      <c r="N111">
        <v>2</v>
      </c>
      <c r="O111">
        <v>30</v>
      </c>
      <c r="P111">
        <v>255</v>
      </c>
      <c r="Q111">
        <v>112</v>
      </c>
      <c r="R111">
        <v>2</v>
      </c>
      <c r="S111">
        <v>6</v>
      </c>
      <c r="T111">
        <v>69</v>
      </c>
      <c r="U111">
        <v>5</v>
      </c>
      <c r="V111">
        <v>7</v>
      </c>
      <c r="W111">
        <v>7</v>
      </c>
      <c r="X111">
        <v>4</v>
      </c>
      <c r="Y111">
        <v>75</v>
      </c>
      <c r="Z111">
        <v>12</v>
      </c>
      <c r="AA111">
        <v>0.51300000000000001</v>
      </c>
      <c r="AB111">
        <v>0.36799999999999999</v>
      </c>
      <c r="AC111">
        <v>0.88100000000000001</v>
      </c>
      <c r="AD111">
        <v>39</v>
      </c>
      <c r="AE111">
        <v>0.28799999999999998</v>
      </c>
      <c r="AF111">
        <v>0</v>
      </c>
      <c r="AG111">
        <f>(표1[[#This Row],[TB]]-표1[[#This Row],[H]])/표1[[#This Row],[AB]]</f>
        <v>0.23340040241448692</v>
      </c>
      <c r="AH111">
        <f>(표1[[#This Row],[TB]]-표1[[#This Row],[H]]+표1[[#This Row],[BB]]+표1[[#This Row],[SB]]-표1[[#This Row],[CS]])/표1[[#This Row],[AB]]</f>
        <v>0.37223340040241448</v>
      </c>
      <c r="AI111">
        <f>(표1[[#This Row],[TB]]+표1[[#This Row],[BB]]+표1[[#This Row],[HBP]]+표1[[#This Row],[SB]]-표1[[#This Row],[CS]])/(표1[[#This Row],[AB]]-표1[[#This Row],[H]]+표1[[#This Row],[CS]]+표1[[#This Row],[GDP]])</f>
        <v>0.87002652519893897</v>
      </c>
      <c r="AJ11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93.655086505190326</v>
      </c>
      <c r="AK111">
        <f>표1[[#This Row],[RC]]/((표1[[#This Row],[AB]]-표1[[#This Row],[H]]+표1[[#This Row],[SAC]]+표1[[#This Row],[SF]]+표1[[#This Row],[CS]]+표1[[#This Row],[GDP]])/27)</f>
        <v>6.5680190536107501</v>
      </c>
      <c r="AL11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0.37623817863397546</v>
      </c>
      <c r="AM11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92.050000000000026</v>
      </c>
    </row>
    <row r="112" spans="1:39" x14ac:dyDescent="0.3">
      <c r="A112" t="str">
        <f>_xlfn.CONCAT(표1[[#This Row],[Year]],표1[[#This Row],[Player]])</f>
        <v>2004안경현</v>
      </c>
      <c r="B112">
        <v>2004</v>
      </c>
      <c r="C112">
        <v>31</v>
      </c>
      <c r="D112" t="s">
        <v>4</v>
      </c>
      <c r="E112" t="s">
        <v>1</v>
      </c>
      <c r="F112">
        <v>0.28000000000000003</v>
      </c>
      <c r="G112">
        <v>125</v>
      </c>
      <c r="H112">
        <v>525</v>
      </c>
      <c r="I112">
        <v>447</v>
      </c>
      <c r="J112">
        <v>57</v>
      </c>
      <c r="K112">
        <v>125</v>
      </c>
      <c r="L112">
        <f>표1[[#This Row],[H]]-표1[[#This Row],[2B]]-표1[[#This Row],[3B]]-표1[[#This Row],[HR]]</f>
        <v>94</v>
      </c>
      <c r="M112">
        <v>20</v>
      </c>
      <c r="N112">
        <v>1</v>
      </c>
      <c r="O112">
        <v>10</v>
      </c>
      <c r="P112">
        <v>177</v>
      </c>
      <c r="Q112">
        <v>51</v>
      </c>
      <c r="R112">
        <v>9</v>
      </c>
      <c r="S112">
        <v>2</v>
      </c>
      <c r="T112">
        <v>54</v>
      </c>
      <c r="U112">
        <v>2</v>
      </c>
      <c r="V112">
        <v>8</v>
      </c>
      <c r="W112">
        <v>3</v>
      </c>
      <c r="X112">
        <v>13</v>
      </c>
      <c r="Y112">
        <v>44</v>
      </c>
      <c r="Z112">
        <v>15</v>
      </c>
      <c r="AA112">
        <v>0.39600000000000002</v>
      </c>
      <c r="AB112">
        <v>0.372</v>
      </c>
      <c r="AC112">
        <v>0.76800000000000002</v>
      </c>
      <c r="AD112">
        <v>33</v>
      </c>
      <c r="AE112">
        <v>0.248</v>
      </c>
      <c r="AF112">
        <v>0</v>
      </c>
      <c r="AG112">
        <f>(표1[[#This Row],[TB]]-표1[[#This Row],[H]])/표1[[#This Row],[AB]]</f>
        <v>0.116331096196868</v>
      </c>
      <c r="AH112">
        <f>(표1[[#This Row],[TB]]-표1[[#This Row],[H]]+표1[[#This Row],[BB]]+표1[[#This Row],[SB]]-표1[[#This Row],[CS]])/표1[[#This Row],[AB]]</f>
        <v>0.24832214765100671</v>
      </c>
      <c r="AI112">
        <f>(표1[[#This Row],[TB]]+표1[[#This Row],[BB]]+표1[[#This Row],[HBP]]+표1[[#This Row],[SB]]-표1[[#This Row],[CS]])/(표1[[#This Row],[AB]]-표1[[#This Row],[H]]+표1[[#This Row],[CS]]+표1[[#This Row],[GDP]])</f>
        <v>0.73235294117647054</v>
      </c>
      <c r="AJ11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67.538514285714285</v>
      </c>
      <c r="AK112">
        <f>표1[[#This Row],[RC]]/((표1[[#This Row],[AB]]-표1[[#This Row],[H]]+표1[[#This Row],[SAC]]+표1[[#This Row],[SF]]+표1[[#This Row],[CS]]+표1[[#This Row],[GDP]])/27)</f>
        <v>5.19527032967033</v>
      </c>
      <c r="AL11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0.34188132295719842</v>
      </c>
      <c r="AM11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66.138000000000019</v>
      </c>
    </row>
    <row r="113" spans="1:39" x14ac:dyDescent="0.3">
      <c r="A113" t="str">
        <f>_xlfn.CONCAT(표1[[#This Row],[Year]],표1[[#This Row],[Player]])</f>
        <v>2004진갑용</v>
      </c>
      <c r="B113">
        <v>2004</v>
      </c>
      <c r="C113">
        <v>32</v>
      </c>
      <c r="D113" t="s">
        <v>26</v>
      </c>
      <c r="E113" t="s">
        <v>6</v>
      </c>
      <c r="F113">
        <v>0.27800000000000002</v>
      </c>
      <c r="G113">
        <v>129</v>
      </c>
      <c r="H113">
        <v>491</v>
      </c>
      <c r="I113">
        <v>439</v>
      </c>
      <c r="J113">
        <v>60</v>
      </c>
      <c r="K113">
        <v>122</v>
      </c>
      <c r="L113">
        <f>표1[[#This Row],[H]]-표1[[#This Row],[2B]]-표1[[#This Row],[3B]]-표1[[#This Row],[HR]]</f>
        <v>78</v>
      </c>
      <c r="M113">
        <v>20</v>
      </c>
      <c r="N113">
        <v>0</v>
      </c>
      <c r="O113">
        <v>24</v>
      </c>
      <c r="P113">
        <v>214</v>
      </c>
      <c r="Q113">
        <v>71</v>
      </c>
      <c r="R113">
        <v>2</v>
      </c>
      <c r="S113">
        <v>4</v>
      </c>
      <c r="T113">
        <v>34</v>
      </c>
      <c r="U113">
        <v>2</v>
      </c>
      <c r="V113">
        <v>0</v>
      </c>
      <c r="W113">
        <v>0</v>
      </c>
      <c r="X113">
        <v>12</v>
      </c>
      <c r="Y113">
        <v>51</v>
      </c>
      <c r="Z113">
        <v>16</v>
      </c>
      <c r="AA113">
        <v>0.48699999999999999</v>
      </c>
      <c r="AB113">
        <v>0.34399999999999997</v>
      </c>
      <c r="AC113">
        <v>0.83099999999999996</v>
      </c>
      <c r="AD113">
        <v>31</v>
      </c>
      <c r="AE113">
        <v>0.219</v>
      </c>
      <c r="AF113">
        <v>0.14299999999999999</v>
      </c>
      <c r="AG113">
        <f>(표1[[#This Row],[TB]]-표1[[#This Row],[H]])/표1[[#This Row],[AB]]</f>
        <v>0.20956719817767655</v>
      </c>
      <c r="AH113">
        <f>(표1[[#This Row],[TB]]-표1[[#This Row],[H]]+표1[[#This Row],[BB]]+표1[[#This Row],[SB]]-표1[[#This Row],[CS]])/표1[[#This Row],[AB]]</f>
        <v>0.28701594533029612</v>
      </c>
      <c r="AI113">
        <f>(표1[[#This Row],[TB]]+표1[[#This Row],[BB]]+표1[[#This Row],[HBP]]+표1[[#This Row],[SB]]-표1[[#This Row],[CS]])/(표1[[#This Row],[AB]]-표1[[#This Row],[H]]+표1[[#This Row],[CS]]+표1[[#This Row],[GDP]])</f>
        <v>0.78078078078078073</v>
      </c>
      <c r="AJ11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70.755845213849298</v>
      </c>
      <c r="AK113">
        <f>표1[[#This Row],[RC]]/((표1[[#This Row],[AB]]-표1[[#This Row],[H]]+표1[[#This Row],[SAC]]+표1[[#This Row],[SF]]+표1[[#This Row],[CS]]+표1[[#This Row],[GDP]])/27)</f>
        <v>5.635421300218086</v>
      </c>
      <c r="AL11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0.35782340862422995</v>
      </c>
      <c r="AM11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70.122000000000014</v>
      </c>
    </row>
    <row r="114" spans="1:39" x14ac:dyDescent="0.3">
      <c r="A114" t="str">
        <f>_xlfn.CONCAT(표1[[#This Row],[Year]],표1[[#This Row],[Player]])</f>
        <v>2004최경환</v>
      </c>
      <c r="B114">
        <v>2004</v>
      </c>
      <c r="C114">
        <v>33</v>
      </c>
      <c r="D114" t="s">
        <v>60</v>
      </c>
      <c r="E114" t="s">
        <v>1</v>
      </c>
      <c r="F114">
        <v>0.27800000000000002</v>
      </c>
      <c r="G114">
        <v>126</v>
      </c>
      <c r="H114">
        <v>480</v>
      </c>
      <c r="I114">
        <v>436</v>
      </c>
      <c r="J114">
        <v>49</v>
      </c>
      <c r="K114">
        <v>121</v>
      </c>
      <c r="L114">
        <f>표1[[#This Row],[H]]-표1[[#This Row],[2B]]-표1[[#This Row],[3B]]-표1[[#This Row],[HR]]</f>
        <v>96</v>
      </c>
      <c r="M114">
        <v>16</v>
      </c>
      <c r="N114">
        <v>4</v>
      </c>
      <c r="O114">
        <v>5</v>
      </c>
      <c r="P114">
        <v>160</v>
      </c>
      <c r="Q114">
        <v>58</v>
      </c>
      <c r="R114">
        <v>0</v>
      </c>
      <c r="S114">
        <v>6</v>
      </c>
      <c r="T114">
        <v>34</v>
      </c>
      <c r="U114">
        <v>0</v>
      </c>
      <c r="V114">
        <v>14</v>
      </c>
      <c r="W114">
        <v>8</v>
      </c>
      <c r="X114">
        <v>4</v>
      </c>
      <c r="Y114">
        <v>67</v>
      </c>
      <c r="Z114">
        <v>7</v>
      </c>
      <c r="AA114">
        <v>0.36699999999999999</v>
      </c>
      <c r="AB114">
        <v>0.33100000000000002</v>
      </c>
      <c r="AC114">
        <v>0.69799999999999995</v>
      </c>
      <c r="AD114">
        <v>34</v>
      </c>
      <c r="AE114">
        <v>0.31900000000000001</v>
      </c>
      <c r="AF114">
        <v>0.182</v>
      </c>
      <c r="AG114">
        <f>(표1[[#This Row],[TB]]-표1[[#This Row],[H]])/표1[[#This Row],[AB]]</f>
        <v>8.9449541284403675E-2</v>
      </c>
      <c r="AH114">
        <f>(표1[[#This Row],[TB]]-표1[[#This Row],[H]]+표1[[#This Row],[BB]]+표1[[#This Row],[SB]]-표1[[#This Row],[CS]])/표1[[#This Row],[AB]]</f>
        <v>0.18119266055045871</v>
      </c>
      <c r="AI114">
        <f>(표1[[#This Row],[TB]]+표1[[#This Row],[BB]]+표1[[#This Row],[HBP]]+표1[[#This Row],[SB]]-표1[[#This Row],[CS]])/(표1[[#This Row],[AB]]-표1[[#This Row],[H]]+표1[[#This Row],[CS]]+표1[[#This Row],[GDP]])</f>
        <v>0.61818181818181817</v>
      </c>
      <c r="AJ11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54.083999999999996</v>
      </c>
      <c r="AK114">
        <f>표1[[#This Row],[RC]]/((표1[[#This Row],[AB]]-표1[[#This Row],[H]]+표1[[#This Row],[SAC]]+표1[[#This Row],[SF]]+표1[[#This Row],[CS]]+표1[[#This Row],[GDP]])/27)</f>
        <v>4.3460357142857138</v>
      </c>
      <c r="AL11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0.30837500000000001</v>
      </c>
      <c r="AM11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54.503999999999991</v>
      </c>
    </row>
    <row r="115" spans="1:39" x14ac:dyDescent="0.3">
      <c r="A115" t="str">
        <f>_xlfn.CONCAT(표1[[#This Row],[Year]],표1[[#This Row],[Player]])</f>
        <v>2004조원우</v>
      </c>
      <c r="B115">
        <v>2004</v>
      </c>
      <c r="C115">
        <v>34</v>
      </c>
      <c r="D115" t="s">
        <v>32</v>
      </c>
      <c r="E115" t="s">
        <v>8</v>
      </c>
      <c r="F115">
        <v>0.27700000000000002</v>
      </c>
      <c r="G115">
        <v>119</v>
      </c>
      <c r="H115">
        <v>463</v>
      </c>
      <c r="I115">
        <v>386</v>
      </c>
      <c r="J115">
        <v>59</v>
      </c>
      <c r="K115">
        <v>107</v>
      </c>
      <c r="L115">
        <f>표1[[#This Row],[H]]-표1[[#This Row],[2B]]-표1[[#This Row],[3B]]-표1[[#This Row],[HR]]</f>
        <v>85</v>
      </c>
      <c r="M115">
        <v>17</v>
      </c>
      <c r="N115">
        <v>2</v>
      </c>
      <c r="O115">
        <v>3</v>
      </c>
      <c r="P115">
        <v>137</v>
      </c>
      <c r="Q115">
        <v>35</v>
      </c>
      <c r="R115">
        <v>20</v>
      </c>
      <c r="S115">
        <v>4</v>
      </c>
      <c r="T115">
        <v>42</v>
      </c>
      <c r="U115">
        <v>0</v>
      </c>
      <c r="V115">
        <v>5</v>
      </c>
      <c r="W115">
        <v>6</v>
      </c>
      <c r="X115">
        <v>11</v>
      </c>
      <c r="Y115">
        <v>49</v>
      </c>
      <c r="Z115">
        <v>3</v>
      </c>
      <c r="AA115">
        <v>0.35499999999999998</v>
      </c>
      <c r="AB115">
        <v>0.36099999999999999</v>
      </c>
      <c r="AC115">
        <v>0.71599999999999997</v>
      </c>
      <c r="AD115">
        <v>24</v>
      </c>
      <c r="AE115">
        <v>0.22900000000000001</v>
      </c>
      <c r="AF115">
        <v>0.5</v>
      </c>
      <c r="AG115">
        <f>(표1[[#This Row],[TB]]-표1[[#This Row],[H]])/표1[[#This Row],[AB]]</f>
        <v>7.7720207253886009E-2</v>
      </c>
      <c r="AH115">
        <f>(표1[[#This Row],[TB]]-표1[[#This Row],[H]]+표1[[#This Row],[BB]]+표1[[#This Row],[SB]]-표1[[#This Row],[CS]])/표1[[#This Row],[AB]]</f>
        <v>0.18393782383419688</v>
      </c>
      <c r="AI115">
        <f>(표1[[#This Row],[TB]]+표1[[#This Row],[BB]]+표1[[#This Row],[HBP]]+표1[[#This Row],[SB]]-표1[[#This Row],[CS]])/(표1[[#This Row],[AB]]-표1[[#This Row],[H]]+표1[[#This Row],[CS]]+표1[[#This Row],[GDP]])</f>
        <v>0.65625</v>
      </c>
      <c r="AJ11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54.09257019438445</v>
      </c>
      <c r="AK115">
        <f>표1[[#This Row],[RC]]/((표1[[#This Row],[AB]]-표1[[#This Row],[H]]+표1[[#This Row],[SAC]]+표1[[#This Row],[SF]]+표1[[#This Row],[CS]]+표1[[#This Row],[GDP]])/27)</f>
        <v>4.6810878052832701</v>
      </c>
      <c r="AL11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0.32242212189616259</v>
      </c>
      <c r="AM11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53.807999999999986</v>
      </c>
    </row>
    <row r="116" spans="1:39" x14ac:dyDescent="0.3">
      <c r="A116" t="str">
        <f>_xlfn.CONCAT(표1[[#This Row],[Year]],표1[[#This Row],[Player]])</f>
        <v>2004전상렬</v>
      </c>
      <c r="B116">
        <v>2004</v>
      </c>
      <c r="C116">
        <v>35</v>
      </c>
      <c r="D116" t="s">
        <v>41</v>
      </c>
      <c r="E116" t="s">
        <v>1</v>
      </c>
      <c r="F116">
        <v>0.27400000000000002</v>
      </c>
      <c r="G116">
        <v>128</v>
      </c>
      <c r="H116">
        <v>542</v>
      </c>
      <c r="I116">
        <v>486</v>
      </c>
      <c r="J116">
        <v>76</v>
      </c>
      <c r="K116">
        <v>133</v>
      </c>
      <c r="L116">
        <f>표1[[#This Row],[H]]-표1[[#This Row],[2B]]-표1[[#This Row],[3B]]-표1[[#This Row],[HR]]</f>
        <v>108</v>
      </c>
      <c r="M116">
        <v>18</v>
      </c>
      <c r="N116">
        <v>2</v>
      </c>
      <c r="O116">
        <v>5</v>
      </c>
      <c r="P116">
        <v>170</v>
      </c>
      <c r="Q116">
        <v>42</v>
      </c>
      <c r="R116">
        <v>10</v>
      </c>
      <c r="S116">
        <v>4</v>
      </c>
      <c r="T116">
        <v>34</v>
      </c>
      <c r="U116">
        <v>1</v>
      </c>
      <c r="V116">
        <v>15</v>
      </c>
      <c r="W116">
        <v>7</v>
      </c>
      <c r="X116">
        <v>8</v>
      </c>
      <c r="Y116">
        <v>61</v>
      </c>
      <c r="Z116">
        <v>2</v>
      </c>
      <c r="AA116">
        <v>0.35</v>
      </c>
      <c r="AB116">
        <v>0.32900000000000001</v>
      </c>
      <c r="AC116">
        <v>0.67900000000000005</v>
      </c>
      <c r="AD116">
        <v>37</v>
      </c>
      <c r="AE116">
        <v>0.28699999999999998</v>
      </c>
      <c r="AF116">
        <v>0.25</v>
      </c>
      <c r="AG116">
        <f>(표1[[#This Row],[TB]]-표1[[#This Row],[H]])/표1[[#This Row],[AB]]</f>
        <v>7.6131687242798354E-2</v>
      </c>
      <c r="AH116">
        <f>(표1[[#This Row],[TB]]-표1[[#This Row],[H]]+표1[[#This Row],[BB]]+표1[[#This Row],[SB]]-표1[[#This Row],[CS]])/표1[[#This Row],[AB]]</f>
        <v>0.16255144032921812</v>
      </c>
      <c r="AI116">
        <f>(표1[[#This Row],[TB]]+표1[[#This Row],[BB]]+표1[[#This Row],[HBP]]+표1[[#This Row],[SB]]-표1[[#This Row],[CS]])/(표1[[#This Row],[AB]]-표1[[#This Row],[H]]+표1[[#This Row],[CS]]+표1[[#This Row],[GDP]])</f>
        <v>0.60773480662983426</v>
      </c>
      <c r="AJ11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59.949889298892991</v>
      </c>
      <c r="AK116">
        <f>표1[[#This Row],[RC]]/((표1[[#This Row],[AB]]-표1[[#This Row],[H]]+표1[[#This Row],[SAC]]+표1[[#This Row],[SF]]+표1[[#This Row],[CS]]+표1[[#This Row],[GDP]])/27)</f>
        <v>4.3049122634843373</v>
      </c>
      <c r="AL11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0.30160640301318264</v>
      </c>
      <c r="AM11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59.771999999999991</v>
      </c>
    </row>
    <row r="117" spans="1:39" x14ac:dyDescent="0.3">
      <c r="A117" t="str">
        <f>_xlfn.CONCAT(표1[[#This Row],[Year]],표1[[#This Row],[Player]])</f>
        <v>2004김한수</v>
      </c>
      <c r="B117">
        <v>2004</v>
      </c>
      <c r="C117">
        <v>36</v>
      </c>
      <c r="D117" t="s">
        <v>21</v>
      </c>
      <c r="E117" t="s">
        <v>6</v>
      </c>
      <c r="F117">
        <v>0.27100000000000002</v>
      </c>
      <c r="G117">
        <v>133</v>
      </c>
      <c r="H117">
        <v>558</v>
      </c>
      <c r="I117">
        <v>498</v>
      </c>
      <c r="J117">
        <v>60</v>
      </c>
      <c r="K117">
        <v>135</v>
      </c>
      <c r="L117">
        <f>표1[[#This Row],[H]]-표1[[#This Row],[2B]]-표1[[#This Row],[3B]]-표1[[#This Row],[HR]]</f>
        <v>88</v>
      </c>
      <c r="M117">
        <v>30</v>
      </c>
      <c r="N117">
        <v>1</v>
      </c>
      <c r="O117">
        <v>16</v>
      </c>
      <c r="P117">
        <v>215</v>
      </c>
      <c r="Q117">
        <v>84</v>
      </c>
      <c r="R117">
        <v>6</v>
      </c>
      <c r="S117">
        <v>4</v>
      </c>
      <c r="T117">
        <v>30</v>
      </c>
      <c r="U117">
        <v>2</v>
      </c>
      <c r="V117">
        <v>1</v>
      </c>
      <c r="W117">
        <v>2</v>
      </c>
      <c r="X117">
        <v>20</v>
      </c>
      <c r="Y117">
        <v>79</v>
      </c>
      <c r="Z117">
        <v>23</v>
      </c>
      <c r="AA117">
        <v>0.432</v>
      </c>
      <c r="AB117">
        <v>0.33500000000000002</v>
      </c>
      <c r="AC117">
        <v>0.76700000000000002</v>
      </c>
      <c r="AD117">
        <v>36</v>
      </c>
      <c r="AE117">
        <v>0.34799999999999998</v>
      </c>
      <c r="AF117">
        <v>0</v>
      </c>
      <c r="AG117">
        <f>(표1[[#This Row],[TB]]-표1[[#This Row],[H]])/표1[[#This Row],[AB]]</f>
        <v>0.1606425702811245</v>
      </c>
      <c r="AH117">
        <f>(표1[[#This Row],[TB]]-표1[[#This Row],[H]]+표1[[#This Row],[BB]]+표1[[#This Row],[SB]]-표1[[#This Row],[CS]])/표1[[#This Row],[AB]]</f>
        <v>0.21887550200803213</v>
      </c>
      <c r="AI117">
        <f>(표1[[#This Row],[TB]]+표1[[#This Row],[BB]]+표1[[#This Row],[HBP]]+표1[[#This Row],[SB]]-표1[[#This Row],[CS]])/(표1[[#This Row],[AB]]-표1[[#This Row],[H]]+표1[[#This Row],[CS]]+표1[[#This Row],[GDP]])</f>
        <v>0.68041237113402064</v>
      </c>
      <c r="AJ11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66.867383512544805</v>
      </c>
      <c r="AK117">
        <f>표1[[#This Row],[RC]]/((표1[[#This Row],[AB]]-표1[[#This Row],[H]]+표1[[#This Row],[SAC]]+표1[[#This Row],[SF]]+표1[[#This Row],[CS]]+표1[[#This Row],[GDP]])/27)</f>
        <v>4.5362295347706274</v>
      </c>
      <c r="AL11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0.33420181818181816</v>
      </c>
      <c r="AM11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65.948000000000008</v>
      </c>
    </row>
    <row r="118" spans="1:39" x14ac:dyDescent="0.3">
      <c r="A118" t="str">
        <f>_xlfn.CONCAT(표1[[#This Row],[Year]],표1[[#This Row],[Player]])</f>
        <v>2004정성훈</v>
      </c>
      <c r="B118">
        <v>2004</v>
      </c>
      <c r="C118">
        <v>37</v>
      </c>
      <c r="D118" t="s">
        <v>61</v>
      </c>
      <c r="E118" t="s">
        <v>3</v>
      </c>
      <c r="F118">
        <v>0.26600000000000001</v>
      </c>
      <c r="G118">
        <v>118</v>
      </c>
      <c r="H118">
        <v>540</v>
      </c>
      <c r="I118">
        <v>470</v>
      </c>
      <c r="J118">
        <v>66</v>
      </c>
      <c r="K118">
        <v>125</v>
      </c>
      <c r="L118">
        <f>표1[[#This Row],[H]]-표1[[#This Row],[2B]]-표1[[#This Row],[3B]]-표1[[#This Row],[HR]]</f>
        <v>94</v>
      </c>
      <c r="M118">
        <v>23</v>
      </c>
      <c r="N118">
        <v>0</v>
      </c>
      <c r="O118">
        <v>8</v>
      </c>
      <c r="P118">
        <v>172</v>
      </c>
      <c r="Q118">
        <v>59</v>
      </c>
      <c r="R118">
        <v>8</v>
      </c>
      <c r="S118">
        <v>1</v>
      </c>
      <c r="T118">
        <v>54</v>
      </c>
      <c r="U118">
        <v>3</v>
      </c>
      <c r="V118">
        <v>1</v>
      </c>
      <c r="W118">
        <v>3</v>
      </c>
      <c r="X118">
        <v>7</v>
      </c>
      <c r="Y118">
        <v>60</v>
      </c>
      <c r="Z118">
        <v>11</v>
      </c>
      <c r="AA118">
        <v>0.36599999999999999</v>
      </c>
      <c r="AB118">
        <v>0.35</v>
      </c>
      <c r="AC118">
        <v>0.71599999999999997</v>
      </c>
      <c r="AD118">
        <v>37</v>
      </c>
      <c r="AE118">
        <v>0.30499999999999999</v>
      </c>
      <c r="AF118">
        <v>0</v>
      </c>
      <c r="AG118">
        <f>(표1[[#This Row],[TB]]-표1[[#This Row],[H]])/표1[[#This Row],[AB]]</f>
        <v>0.1</v>
      </c>
      <c r="AH118">
        <f>(표1[[#This Row],[TB]]-표1[[#This Row],[H]]+표1[[#This Row],[BB]]+표1[[#This Row],[SB]]-표1[[#This Row],[CS]])/표1[[#This Row],[AB]]</f>
        <v>0.21063829787234042</v>
      </c>
      <c r="AI118">
        <f>(표1[[#This Row],[TB]]+표1[[#This Row],[BB]]+표1[[#This Row],[HBP]]+표1[[#This Row],[SB]]-표1[[#This Row],[CS]])/(표1[[#This Row],[AB]]-표1[[#This Row],[H]]+표1[[#This Row],[CS]]+표1[[#This Row],[GDP]])</f>
        <v>0.64345403899721454</v>
      </c>
      <c r="AJ11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61.244740740740745</v>
      </c>
      <c r="AK118">
        <f>표1[[#This Row],[RC]]/((표1[[#This Row],[AB]]-표1[[#This Row],[H]]+표1[[#This Row],[SAC]]+표1[[#This Row],[SF]]+표1[[#This Row],[CS]]+표1[[#This Row],[GDP]])/27)</f>
        <v>4.4935</v>
      </c>
      <c r="AL11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0.31902835538752361</v>
      </c>
      <c r="AM11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59.86</v>
      </c>
    </row>
    <row r="119" spans="1:39" x14ac:dyDescent="0.3">
      <c r="A119" t="str">
        <f>_xlfn.CONCAT(표1[[#This Row],[Year]],표1[[#This Row],[Player]])</f>
        <v>2004송지만</v>
      </c>
      <c r="B119">
        <v>2004</v>
      </c>
      <c r="C119">
        <v>38</v>
      </c>
      <c r="D119" t="s">
        <v>62</v>
      </c>
      <c r="E119" t="s">
        <v>3</v>
      </c>
      <c r="F119">
        <v>0.26500000000000001</v>
      </c>
      <c r="G119">
        <v>132</v>
      </c>
      <c r="H119">
        <v>567</v>
      </c>
      <c r="I119">
        <v>486</v>
      </c>
      <c r="J119">
        <v>80</v>
      </c>
      <c r="K119">
        <v>129</v>
      </c>
      <c r="L119">
        <f>표1[[#This Row],[H]]-표1[[#This Row],[2B]]-표1[[#This Row],[3B]]-표1[[#This Row],[HR]]</f>
        <v>86</v>
      </c>
      <c r="M119">
        <v>21</v>
      </c>
      <c r="N119">
        <v>0</v>
      </c>
      <c r="O119">
        <v>22</v>
      </c>
      <c r="P119">
        <v>216</v>
      </c>
      <c r="Q119">
        <v>74</v>
      </c>
      <c r="R119">
        <v>9</v>
      </c>
      <c r="S119">
        <v>0</v>
      </c>
      <c r="T119">
        <v>63</v>
      </c>
      <c r="U119">
        <v>1</v>
      </c>
      <c r="V119">
        <v>6</v>
      </c>
      <c r="W119">
        <v>7</v>
      </c>
      <c r="X119">
        <v>9</v>
      </c>
      <c r="Y119">
        <v>127</v>
      </c>
      <c r="Z119">
        <v>16</v>
      </c>
      <c r="AA119">
        <v>0.44400000000000001</v>
      </c>
      <c r="AB119">
        <v>0.36</v>
      </c>
      <c r="AC119">
        <v>0.80400000000000005</v>
      </c>
      <c r="AD119">
        <v>34</v>
      </c>
      <c r="AE119">
        <v>0.248</v>
      </c>
      <c r="AF119">
        <v>1</v>
      </c>
      <c r="AG119">
        <f>(표1[[#This Row],[TB]]-표1[[#This Row],[H]])/표1[[#This Row],[AB]]</f>
        <v>0.17901234567901234</v>
      </c>
      <c r="AH119">
        <f>(표1[[#This Row],[TB]]-표1[[#This Row],[H]]+표1[[#This Row],[BB]]+표1[[#This Row],[SB]]-표1[[#This Row],[CS]])/표1[[#This Row],[AB]]</f>
        <v>0.30658436213991769</v>
      </c>
      <c r="AI119">
        <f>(표1[[#This Row],[TB]]+표1[[#This Row],[BB]]+표1[[#This Row],[HBP]]+표1[[#This Row],[SB]]-표1[[#This Row],[CS]])/(표1[[#This Row],[AB]]-표1[[#This Row],[H]]+표1[[#This Row],[CS]]+표1[[#This Row],[GDP]])</f>
        <v>0.75526315789473686</v>
      </c>
      <c r="AJ11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76.053403880070562</v>
      </c>
      <c r="AK119">
        <f>표1[[#This Row],[RC]]/((표1[[#This Row],[AB]]-표1[[#This Row],[H]]+표1[[#This Row],[SAC]]+표1[[#This Row],[SF]]+표1[[#This Row],[CS]]+표1[[#This Row],[GDP]])/27)</f>
        <v>5.2787709633982143</v>
      </c>
      <c r="AL11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0.35374685816876117</v>
      </c>
      <c r="AM11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74.323999999999998</v>
      </c>
    </row>
    <row r="120" spans="1:39" x14ac:dyDescent="0.3">
      <c r="A120" t="str">
        <f>_xlfn.CONCAT(표1[[#This Row],[Year]],표1[[#This Row],[Player]])</f>
        <v>2004김종국</v>
      </c>
      <c r="B120">
        <v>2004</v>
      </c>
      <c r="C120">
        <v>39</v>
      </c>
      <c r="D120" t="s">
        <v>45</v>
      </c>
      <c r="E120" t="s">
        <v>13</v>
      </c>
      <c r="F120">
        <v>0.26500000000000001</v>
      </c>
      <c r="G120">
        <v>133</v>
      </c>
      <c r="H120">
        <v>562</v>
      </c>
      <c r="I120">
        <v>491</v>
      </c>
      <c r="J120">
        <v>66</v>
      </c>
      <c r="K120">
        <v>130</v>
      </c>
      <c r="L120">
        <f>표1[[#This Row],[H]]-표1[[#This Row],[2B]]-표1[[#This Row],[3B]]-표1[[#This Row],[HR]]</f>
        <v>99</v>
      </c>
      <c r="M120">
        <v>20</v>
      </c>
      <c r="N120">
        <v>1</v>
      </c>
      <c r="O120">
        <v>10</v>
      </c>
      <c r="P120">
        <v>182</v>
      </c>
      <c r="Q120">
        <v>46</v>
      </c>
      <c r="R120">
        <v>18</v>
      </c>
      <c r="S120">
        <v>2</v>
      </c>
      <c r="T120">
        <v>46</v>
      </c>
      <c r="U120">
        <v>0</v>
      </c>
      <c r="V120">
        <v>39</v>
      </c>
      <c r="W120">
        <v>8</v>
      </c>
      <c r="X120">
        <v>5</v>
      </c>
      <c r="Y120">
        <v>81</v>
      </c>
      <c r="Z120">
        <v>10</v>
      </c>
      <c r="AA120">
        <v>0.371</v>
      </c>
      <c r="AB120">
        <v>0.33300000000000002</v>
      </c>
      <c r="AC120">
        <v>0.70399999999999996</v>
      </c>
      <c r="AD120">
        <v>31</v>
      </c>
      <c r="AE120">
        <v>0.254</v>
      </c>
      <c r="AF120">
        <v>0</v>
      </c>
      <c r="AG120">
        <f>(표1[[#This Row],[TB]]-표1[[#This Row],[H]])/표1[[#This Row],[AB]]</f>
        <v>0.10590631364562118</v>
      </c>
      <c r="AH120">
        <f>(표1[[#This Row],[TB]]-표1[[#This Row],[H]]+표1[[#This Row],[BB]]+표1[[#This Row],[SB]]-표1[[#This Row],[CS]])/표1[[#This Row],[AB]]</f>
        <v>0.26272912423625255</v>
      </c>
      <c r="AI120">
        <f>(표1[[#This Row],[TB]]+표1[[#This Row],[BB]]+표1[[#This Row],[HBP]]+표1[[#This Row],[SB]]-표1[[#This Row],[CS]])/(표1[[#This Row],[AB]]-표1[[#This Row],[H]]+표1[[#This Row],[CS]]+표1[[#This Row],[GDP]])</f>
        <v>0.69656992084432723</v>
      </c>
      <c r="AJ12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65.530640569395018</v>
      </c>
      <c r="AK120">
        <f>표1[[#This Row],[RC]]/((표1[[#This Row],[AB]]-표1[[#This Row],[H]]+표1[[#This Row],[SAC]]+표1[[#This Row],[SF]]+표1[[#This Row],[CS]]+표1[[#This Row],[GDP]])/27)</f>
        <v>4.4344042490568052</v>
      </c>
      <c r="AL12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0.31291360294117643</v>
      </c>
      <c r="AM12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65.761999999999986</v>
      </c>
    </row>
    <row r="121" spans="1:39" x14ac:dyDescent="0.3">
      <c r="A121" t="str">
        <f>_xlfn.CONCAT(표1[[#This Row],[Year]],표1[[#This Row],[Player]])</f>
        <v>2004김상훈</v>
      </c>
      <c r="B121">
        <v>2004</v>
      </c>
      <c r="C121">
        <v>40</v>
      </c>
      <c r="D121" t="s">
        <v>33</v>
      </c>
      <c r="E121" t="s">
        <v>13</v>
      </c>
      <c r="F121">
        <v>0.26200000000000001</v>
      </c>
      <c r="G121">
        <v>128</v>
      </c>
      <c r="H121">
        <v>439</v>
      </c>
      <c r="I121">
        <v>389</v>
      </c>
      <c r="J121">
        <v>39</v>
      </c>
      <c r="K121">
        <v>102</v>
      </c>
      <c r="L121">
        <f>표1[[#This Row],[H]]-표1[[#This Row],[2B]]-표1[[#This Row],[3B]]-표1[[#This Row],[HR]]</f>
        <v>73</v>
      </c>
      <c r="M121">
        <v>21</v>
      </c>
      <c r="N121">
        <v>0</v>
      </c>
      <c r="O121">
        <v>8</v>
      </c>
      <c r="P121">
        <v>147</v>
      </c>
      <c r="Q121">
        <v>45</v>
      </c>
      <c r="R121">
        <v>13</v>
      </c>
      <c r="S121">
        <v>3</v>
      </c>
      <c r="T121">
        <v>33</v>
      </c>
      <c r="U121">
        <v>0</v>
      </c>
      <c r="V121">
        <v>2</v>
      </c>
      <c r="W121">
        <v>1</v>
      </c>
      <c r="X121">
        <v>1</v>
      </c>
      <c r="Y121">
        <v>66</v>
      </c>
      <c r="Z121">
        <v>11</v>
      </c>
      <c r="AA121">
        <v>0.378</v>
      </c>
      <c r="AB121">
        <v>0.31900000000000001</v>
      </c>
      <c r="AC121">
        <v>0.69699999999999995</v>
      </c>
      <c r="AD121">
        <v>26</v>
      </c>
      <c r="AE121">
        <v>0.255</v>
      </c>
      <c r="AF121">
        <v>0</v>
      </c>
      <c r="AG121">
        <f>(표1[[#This Row],[TB]]-표1[[#This Row],[H]])/표1[[#This Row],[AB]]</f>
        <v>0.11568123393316196</v>
      </c>
      <c r="AH121">
        <f>(표1[[#This Row],[TB]]-표1[[#This Row],[H]]+표1[[#This Row],[BB]]+표1[[#This Row],[SB]]-표1[[#This Row],[CS]])/표1[[#This Row],[AB]]</f>
        <v>0.20308483290488433</v>
      </c>
      <c r="AI121">
        <f>(표1[[#This Row],[TB]]+표1[[#This Row],[BB]]+표1[[#This Row],[HBP]]+표1[[#This Row],[SB]]-표1[[#This Row],[CS]])/(표1[[#This Row],[AB]]-표1[[#This Row],[H]]+표1[[#This Row],[CS]]+표1[[#This Row],[GDP]])</f>
        <v>0.60869565217391308</v>
      </c>
      <c r="AJ12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46.6624145785877</v>
      </c>
      <c r="AK121">
        <f>표1[[#This Row],[RC]]/((표1[[#This Row],[AB]]-표1[[#This Row],[H]]+표1[[#This Row],[SAC]]+표1[[#This Row],[SF]]+표1[[#This Row],[CS]]+표1[[#This Row],[GDP]])/27)</f>
        <v>3.9996355353075175</v>
      </c>
      <c r="AL12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0.30731924882629102</v>
      </c>
      <c r="AM12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45.941999999999993</v>
      </c>
    </row>
    <row r="122" spans="1:39" x14ac:dyDescent="0.3">
      <c r="A122" t="str">
        <f>_xlfn.CONCAT(표1[[#This Row],[Year]],표1[[#This Row],[Player]])</f>
        <v>2004브리또</v>
      </c>
      <c r="B122">
        <v>2004</v>
      </c>
      <c r="C122">
        <v>41</v>
      </c>
      <c r="D122" t="s">
        <v>44</v>
      </c>
      <c r="E122" t="s">
        <v>8</v>
      </c>
      <c r="F122">
        <v>0.26100000000000001</v>
      </c>
      <c r="G122">
        <v>102</v>
      </c>
      <c r="H122">
        <v>421</v>
      </c>
      <c r="I122">
        <v>368</v>
      </c>
      <c r="J122">
        <v>41</v>
      </c>
      <c r="K122">
        <v>96</v>
      </c>
      <c r="L122">
        <f>표1[[#This Row],[H]]-표1[[#This Row],[2B]]-표1[[#This Row],[3B]]-표1[[#This Row],[HR]]</f>
        <v>65</v>
      </c>
      <c r="M122">
        <v>18</v>
      </c>
      <c r="N122">
        <v>0</v>
      </c>
      <c r="O122">
        <v>13</v>
      </c>
      <c r="P122">
        <v>153</v>
      </c>
      <c r="Q122">
        <v>50</v>
      </c>
      <c r="R122">
        <v>1</v>
      </c>
      <c r="S122">
        <v>3</v>
      </c>
      <c r="T122">
        <v>34</v>
      </c>
      <c r="U122">
        <v>4</v>
      </c>
      <c r="V122">
        <v>0</v>
      </c>
      <c r="W122">
        <v>2</v>
      </c>
      <c r="X122">
        <v>15</v>
      </c>
      <c r="Y122">
        <v>57</v>
      </c>
      <c r="Z122">
        <v>5</v>
      </c>
      <c r="AA122">
        <v>0.41599999999999998</v>
      </c>
      <c r="AB122">
        <v>0.34499999999999997</v>
      </c>
      <c r="AC122">
        <v>0.76100000000000001</v>
      </c>
      <c r="AD122">
        <v>25</v>
      </c>
      <c r="AE122">
        <v>0.26100000000000001</v>
      </c>
      <c r="AF122">
        <v>0</v>
      </c>
      <c r="AG122">
        <f>(표1[[#This Row],[TB]]-표1[[#This Row],[H]])/표1[[#This Row],[AB]]</f>
        <v>0.15489130434782608</v>
      </c>
      <c r="AH122">
        <f>(표1[[#This Row],[TB]]-표1[[#This Row],[H]]+표1[[#This Row],[BB]]+표1[[#This Row],[SB]]-표1[[#This Row],[CS]])/표1[[#This Row],[AB]]</f>
        <v>0.24184782608695651</v>
      </c>
      <c r="AI122">
        <f>(표1[[#This Row],[TB]]+표1[[#This Row],[BB]]+표1[[#This Row],[HBP]]+표1[[#This Row],[SB]]-표1[[#This Row],[CS]])/(표1[[#This Row],[AB]]-표1[[#This Row],[H]]+표1[[#This Row],[CS]]+표1[[#This Row],[GDP]])</f>
        <v>0.71684587813620071</v>
      </c>
      <c r="AJ12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54.668978622327792</v>
      </c>
      <c r="AK122">
        <f>표1[[#This Row],[RC]]/((표1[[#This Row],[AB]]-표1[[#This Row],[H]]+표1[[#This Row],[SAC]]+표1[[#This Row],[SF]]+표1[[#This Row],[CS]]+표1[[#This Row],[GDP]])/27)</f>
        <v>5.2157682784553021</v>
      </c>
      <c r="AL12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0.33269230769230762</v>
      </c>
      <c r="AM12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54.204000000000008</v>
      </c>
    </row>
    <row r="123" spans="1:39" x14ac:dyDescent="0.3">
      <c r="A123" t="str">
        <f>_xlfn.CONCAT(표1[[#This Row],[Year]],표1[[#This Row],[Player]])</f>
        <v>2004김민재</v>
      </c>
      <c r="B123">
        <v>2004</v>
      </c>
      <c r="C123">
        <v>42</v>
      </c>
      <c r="D123" t="s">
        <v>47</v>
      </c>
      <c r="E123" t="s">
        <v>8</v>
      </c>
      <c r="F123">
        <v>0.26</v>
      </c>
      <c r="G123">
        <v>129</v>
      </c>
      <c r="H123">
        <v>489</v>
      </c>
      <c r="I123">
        <v>435</v>
      </c>
      <c r="J123">
        <v>57</v>
      </c>
      <c r="K123">
        <v>113</v>
      </c>
      <c r="L123">
        <f>표1[[#This Row],[H]]-표1[[#This Row],[2B]]-표1[[#This Row],[3B]]-표1[[#This Row],[HR]]</f>
        <v>95</v>
      </c>
      <c r="M123">
        <v>13</v>
      </c>
      <c r="N123">
        <v>1</v>
      </c>
      <c r="O123">
        <v>4</v>
      </c>
      <c r="P123">
        <v>140</v>
      </c>
      <c r="Q123">
        <v>40</v>
      </c>
      <c r="R123">
        <v>22</v>
      </c>
      <c r="S123">
        <v>5</v>
      </c>
      <c r="T123">
        <v>23</v>
      </c>
      <c r="U123">
        <v>0</v>
      </c>
      <c r="V123">
        <v>11</v>
      </c>
      <c r="W123">
        <v>3</v>
      </c>
      <c r="X123">
        <v>4</v>
      </c>
      <c r="Y123">
        <v>42</v>
      </c>
      <c r="Z123">
        <v>11</v>
      </c>
      <c r="AA123">
        <v>0.32200000000000001</v>
      </c>
      <c r="AB123">
        <v>0.3</v>
      </c>
      <c r="AC123">
        <v>0.622</v>
      </c>
      <c r="AD123">
        <v>27</v>
      </c>
      <c r="AE123">
        <v>0.28000000000000003</v>
      </c>
      <c r="AF123">
        <v>0</v>
      </c>
      <c r="AG123">
        <f>(표1[[#This Row],[TB]]-표1[[#This Row],[H]])/표1[[#This Row],[AB]]</f>
        <v>6.2068965517241378E-2</v>
      </c>
      <c r="AH123">
        <f>(표1[[#This Row],[TB]]-표1[[#This Row],[H]]+표1[[#This Row],[BB]]+표1[[#This Row],[SB]]-표1[[#This Row],[CS]])/표1[[#This Row],[AB]]</f>
        <v>0.13333333333333333</v>
      </c>
      <c r="AI123">
        <f>(표1[[#This Row],[TB]]+표1[[#This Row],[BB]]+표1[[#This Row],[HBP]]+표1[[#This Row],[SB]]-표1[[#This Row],[CS]])/(표1[[#This Row],[AB]]-표1[[#This Row],[H]]+표1[[#This Row],[CS]]+표1[[#This Row],[GDP]])</f>
        <v>0.52083333333333337</v>
      </c>
      <c r="AJ12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42.973987730061346</v>
      </c>
      <c r="AK123">
        <f>표1[[#This Row],[RC]]/((표1[[#This Row],[AB]]-표1[[#This Row],[H]]+표1[[#This Row],[SAC]]+표1[[#This Row],[SF]]+표1[[#This Row],[CS]]+표1[[#This Row],[GDP]])/27)</f>
        <v>3.1964123105004307</v>
      </c>
      <c r="AL12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0.27607494646680941</v>
      </c>
      <c r="AM12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43.203999999999994</v>
      </c>
    </row>
    <row r="124" spans="1:39" x14ac:dyDescent="0.3">
      <c r="A124" t="str">
        <f>_xlfn.CONCAT(표1[[#This Row],[Year]],표1[[#This Row],[Player]])</f>
        <v>2004이종범</v>
      </c>
      <c r="B124">
        <v>2004</v>
      </c>
      <c r="C124">
        <v>43</v>
      </c>
      <c r="D124" t="s">
        <v>14</v>
      </c>
      <c r="E124" t="s">
        <v>13</v>
      </c>
      <c r="F124">
        <v>0.26</v>
      </c>
      <c r="G124">
        <v>133</v>
      </c>
      <c r="H124">
        <v>577</v>
      </c>
      <c r="I124">
        <v>493</v>
      </c>
      <c r="J124">
        <v>100</v>
      </c>
      <c r="K124">
        <v>128</v>
      </c>
      <c r="L124">
        <f>표1[[#This Row],[H]]-표1[[#This Row],[2B]]-표1[[#This Row],[3B]]-표1[[#This Row],[HR]]</f>
        <v>82</v>
      </c>
      <c r="M124">
        <v>29</v>
      </c>
      <c r="N124">
        <v>0</v>
      </c>
      <c r="O124">
        <v>17</v>
      </c>
      <c r="P124">
        <v>208</v>
      </c>
      <c r="Q124">
        <v>52</v>
      </c>
      <c r="R124">
        <v>12</v>
      </c>
      <c r="S124">
        <v>2</v>
      </c>
      <c r="T124">
        <v>53</v>
      </c>
      <c r="U124">
        <v>1</v>
      </c>
      <c r="V124">
        <v>42</v>
      </c>
      <c r="W124">
        <v>7</v>
      </c>
      <c r="X124">
        <v>17</v>
      </c>
      <c r="Y124">
        <v>50</v>
      </c>
      <c r="Z124">
        <v>9</v>
      </c>
      <c r="AA124">
        <v>0.42199999999999999</v>
      </c>
      <c r="AB124">
        <v>0.35</v>
      </c>
      <c r="AC124">
        <v>0.77200000000000002</v>
      </c>
      <c r="AD124">
        <v>37</v>
      </c>
      <c r="AE124">
        <v>0.2</v>
      </c>
      <c r="AF124">
        <v>0</v>
      </c>
      <c r="AG124">
        <f>(표1[[#This Row],[TB]]-표1[[#This Row],[H]])/표1[[#This Row],[AB]]</f>
        <v>0.16227180527383367</v>
      </c>
      <c r="AH124">
        <f>(표1[[#This Row],[TB]]-표1[[#This Row],[H]]+표1[[#This Row],[BB]]+표1[[#This Row],[SB]]-표1[[#This Row],[CS]])/표1[[#This Row],[AB]]</f>
        <v>0.34077079107505071</v>
      </c>
      <c r="AI124">
        <f>(표1[[#This Row],[TB]]+표1[[#This Row],[BB]]+표1[[#This Row],[HBP]]+표1[[#This Row],[SB]]-표1[[#This Row],[CS]])/(표1[[#This Row],[AB]]-표1[[#This Row],[H]]+표1[[#This Row],[CS]]+표1[[#This Row],[GDP]])</f>
        <v>0.82152230971128604</v>
      </c>
      <c r="AJ12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80.45220103986135</v>
      </c>
      <c r="AK124">
        <f>표1[[#This Row],[RC]]/((표1[[#This Row],[AB]]-표1[[#This Row],[H]]+표1[[#This Row],[SAC]]+표1[[#This Row],[SF]]+표1[[#This Row],[CS]]+표1[[#This Row],[GDP]])/27)</f>
        <v>5.4992643748765984</v>
      </c>
      <c r="AL12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0.34066134751773047</v>
      </c>
      <c r="AM12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80.030000000000015</v>
      </c>
    </row>
    <row r="125" spans="1:39" x14ac:dyDescent="0.3">
      <c r="A125" t="str">
        <f>_xlfn.CONCAT(표1[[#This Row],[Year]],표1[[#This Row],[Player]])</f>
        <v>2004최동수</v>
      </c>
      <c r="B125">
        <v>2004</v>
      </c>
      <c r="C125">
        <v>44</v>
      </c>
      <c r="D125" t="s">
        <v>63</v>
      </c>
      <c r="E125" t="s">
        <v>36</v>
      </c>
      <c r="F125">
        <v>0.25700000000000001</v>
      </c>
      <c r="G125">
        <v>123</v>
      </c>
      <c r="H125">
        <v>414</v>
      </c>
      <c r="I125">
        <v>381</v>
      </c>
      <c r="J125">
        <v>49</v>
      </c>
      <c r="K125">
        <v>98</v>
      </c>
      <c r="L125">
        <f>표1[[#This Row],[H]]-표1[[#This Row],[2B]]-표1[[#This Row],[3B]]-표1[[#This Row],[HR]]</f>
        <v>61</v>
      </c>
      <c r="M125">
        <v>22</v>
      </c>
      <c r="N125">
        <v>0</v>
      </c>
      <c r="O125">
        <v>15</v>
      </c>
      <c r="P125">
        <v>165</v>
      </c>
      <c r="Q125">
        <v>57</v>
      </c>
      <c r="R125">
        <v>4</v>
      </c>
      <c r="S125">
        <v>4</v>
      </c>
      <c r="T125">
        <v>23</v>
      </c>
      <c r="U125">
        <v>3</v>
      </c>
      <c r="V125">
        <v>1</v>
      </c>
      <c r="W125">
        <v>1</v>
      </c>
      <c r="X125">
        <v>2</v>
      </c>
      <c r="Y125">
        <v>51</v>
      </c>
      <c r="Z125">
        <v>15</v>
      </c>
      <c r="AA125">
        <v>0.433</v>
      </c>
      <c r="AB125">
        <v>0.3</v>
      </c>
      <c r="AC125">
        <v>0.73299999999999998</v>
      </c>
      <c r="AD125">
        <v>20</v>
      </c>
      <c r="AE125">
        <v>0.26500000000000001</v>
      </c>
      <c r="AF125">
        <v>0.33300000000000002</v>
      </c>
      <c r="AG125">
        <f>(표1[[#This Row],[TB]]-표1[[#This Row],[H]])/표1[[#This Row],[AB]]</f>
        <v>0.17585301837270342</v>
      </c>
      <c r="AH125">
        <f>(표1[[#This Row],[TB]]-표1[[#This Row],[H]]+표1[[#This Row],[BB]]+표1[[#This Row],[SB]]-표1[[#This Row],[CS]])/표1[[#This Row],[AB]]</f>
        <v>0.23622047244094488</v>
      </c>
      <c r="AI125">
        <f>(표1[[#This Row],[TB]]+표1[[#This Row],[BB]]+표1[[#This Row],[HBP]]+표1[[#This Row],[SB]]-표1[[#This Row],[CS]])/(표1[[#This Row],[AB]]-표1[[#This Row],[H]]+표1[[#This Row],[CS]]+표1[[#This Row],[GDP]])</f>
        <v>0.63545150501672243</v>
      </c>
      <c r="AJ12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45.332850241545891</v>
      </c>
      <c r="AK125">
        <f>표1[[#This Row],[RC]]/((표1[[#This Row],[AB]]-표1[[#This Row],[H]]+표1[[#This Row],[SAC]]+표1[[#This Row],[SF]]+표1[[#This Row],[CS]]+표1[[#This Row],[GDP]])/27)</f>
        <v>3.9869281971392154</v>
      </c>
      <c r="AL12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0.31378869778869778</v>
      </c>
      <c r="AM12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46.242000000000012</v>
      </c>
    </row>
    <row r="126" spans="1:39" x14ac:dyDescent="0.3">
      <c r="A126" t="str">
        <f>_xlfn.CONCAT(표1[[#This Row],[Year]],표1[[#This Row],[Player]])</f>
        <v>2004심정수</v>
      </c>
      <c r="B126">
        <v>2004</v>
      </c>
      <c r="C126">
        <v>45</v>
      </c>
      <c r="D126" t="s">
        <v>2</v>
      </c>
      <c r="E126" t="s">
        <v>3</v>
      </c>
      <c r="F126">
        <v>0.25600000000000001</v>
      </c>
      <c r="G126">
        <v>102</v>
      </c>
      <c r="H126">
        <v>455</v>
      </c>
      <c r="I126">
        <v>367</v>
      </c>
      <c r="J126">
        <v>64</v>
      </c>
      <c r="K126">
        <v>94</v>
      </c>
      <c r="L126">
        <f>표1[[#This Row],[H]]-표1[[#This Row],[2B]]-표1[[#This Row],[3B]]-표1[[#This Row],[HR]]</f>
        <v>57</v>
      </c>
      <c r="M126">
        <v>14</v>
      </c>
      <c r="N126">
        <v>1</v>
      </c>
      <c r="O126">
        <v>22</v>
      </c>
      <c r="P126">
        <v>176</v>
      </c>
      <c r="Q126">
        <v>78</v>
      </c>
      <c r="R126">
        <v>0</v>
      </c>
      <c r="S126">
        <v>7</v>
      </c>
      <c r="T126">
        <v>75</v>
      </c>
      <c r="U126">
        <v>3</v>
      </c>
      <c r="V126">
        <v>0</v>
      </c>
      <c r="W126">
        <v>1</v>
      </c>
      <c r="X126">
        <v>6</v>
      </c>
      <c r="Y126">
        <v>128</v>
      </c>
      <c r="Z126">
        <v>11</v>
      </c>
      <c r="AA126">
        <v>0.48</v>
      </c>
      <c r="AB126">
        <v>0.38500000000000001</v>
      </c>
      <c r="AC126">
        <v>0.86499999999999999</v>
      </c>
      <c r="AD126">
        <v>20</v>
      </c>
      <c r="AE126">
        <v>0.28100000000000003</v>
      </c>
      <c r="AF126">
        <v>0</v>
      </c>
      <c r="AG126">
        <f>(표1[[#This Row],[TB]]-표1[[#This Row],[H]])/표1[[#This Row],[AB]]</f>
        <v>0.22343324250681199</v>
      </c>
      <c r="AH126">
        <f>(표1[[#This Row],[TB]]-표1[[#This Row],[H]]+표1[[#This Row],[BB]]+표1[[#This Row],[SB]]-표1[[#This Row],[CS]])/표1[[#This Row],[AB]]</f>
        <v>0.42506811989100818</v>
      </c>
      <c r="AI126">
        <f>(표1[[#This Row],[TB]]+표1[[#This Row],[BB]]+표1[[#This Row],[HBP]]+표1[[#This Row],[SB]]-표1[[#This Row],[CS]])/(표1[[#This Row],[AB]]-표1[[#This Row],[H]]+표1[[#This Row],[CS]]+표1[[#This Row],[GDP]])</f>
        <v>0.89824561403508774</v>
      </c>
      <c r="AJ12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71.619692307692304</v>
      </c>
      <c r="AK126">
        <f>표1[[#This Row],[RC]]/((표1[[#This Row],[AB]]-표1[[#This Row],[H]]+표1[[#This Row],[SAC]]+표1[[#This Row],[SF]]+표1[[#This Row],[CS]]+표1[[#This Row],[GDP]])/27)</f>
        <v>6.6223688092729187</v>
      </c>
      <c r="AL12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0.37375884955752209</v>
      </c>
      <c r="AM12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71.176000000000016</v>
      </c>
    </row>
    <row r="127" spans="1:39" x14ac:dyDescent="0.3">
      <c r="A127" t="str">
        <f>_xlfn.CONCAT(표1[[#This Row],[Year]],표1[[#This Row],[Player]])</f>
        <v>2004조인성</v>
      </c>
      <c r="B127">
        <v>2004</v>
      </c>
      <c r="C127">
        <v>46</v>
      </c>
      <c r="D127" t="s">
        <v>43</v>
      </c>
      <c r="E127" t="s">
        <v>36</v>
      </c>
      <c r="F127">
        <v>0.254</v>
      </c>
      <c r="G127">
        <v>129</v>
      </c>
      <c r="H127">
        <v>432</v>
      </c>
      <c r="I127">
        <v>386</v>
      </c>
      <c r="J127">
        <v>40</v>
      </c>
      <c r="K127">
        <v>98</v>
      </c>
      <c r="L127">
        <f>표1[[#This Row],[H]]-표1[[#This Row],[2B]]-표1[[#This Row],[3B]]-표1[[#This Row],[HR]]</f>
        <v>74</v>
      </c>
      <c r="M127">
        <v>16</v>
      </c>
      <c r="N127">
        <v>0</v>
      </c>
      <c r="O127">
        <v>8</v>
      </c>
      <c r="P127">
        <v>138</v>
      </c>
      <c r="Q127">
        <v>49</v>
      </c>
      <c r="R127">
        <v>3</v>
      </c>
      <c r="S127">
        <v>4</v>
      </c>
      <c r="T127">
        <v>36</v>
      </c>
      <c r="U127">
        <v>0</v>
      </c>
      <c r="V127">
        <v>2</v>
      </c>
      <c r="W127">
        <v>5</v>
      </c>
      <c r="X127">
        <v>3</v>
      </c>
      <c r="Y127">
        <v>63</v>
      </c>
      <c r="Z127">
        <v>9</v>
      </c>
      <c r="AA127">
        <v>0.35799999999999998</v>
      </c>
      <c r="AB127">
        <v>0.31900000000000001</v>
      </c>
      <c r="AC127">
        <v>0.67700000000000005</v>
      </c>
      <c r="AD127">
        <v>22</v>
      </c>
      <c r="AE127">
        <v>0.255</v>
      </c>
      <c r="AF127">
        <v>0</v>
      </c>
      <c r="AG127">
        <f>(표1[[#This Row],[TB]]-표1[[#This Row],[H]])/표1[[#This Row],[AB]]</f>
        <v>0.10362694300518134</v>
      </c>
      <c r="AH127">
        <f>(표1[[#This Row],[TB]]-표1[[#This Row],[H]]+표1[[#This Row],[BB]]+표1[[#This Row],[SB]]-표1[[#This Row],[CS]])/표1[[#This Row],[AB]]</f>
        <v>0.18911917098445596</v>
      </c>
      <c r="AI127">
        <f>(표1[[#This Row],[TB]]+표1[[#This Row],[BB]]+표1[[#This Row],[HBP]]+표1[[#This Row],[SB]]-표1[[#This Row],[CS]])/(표1[[#This Row],[AB]]-표1[[#This Row],[H]]+표1[[#This Row],[CS]]+표1[[#This Row],[GDP]])</f>
        <v>0.57615894039735094</v>
      </c>
      <c r="AJ12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43.511250000000004</v>
      </c>
      <c r="AK127">
        <f>표1[[#This Row],[RC]]/((표1[[#This Row],[AB]]-표1[[#This Row],[H]]+표1[[#This Row],[SAC]]+표1[[#This Row],[SF]]+표1[[#This Row],[CS]]+표1[[#This Row],[GDP]])/27)</f>
        <v>3.8019538834951461</v>
      </c>
      <c r="AL12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0.30077855477855475</v>
      </c>
      <c r="AM12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43.905999999999985</v>
      </c>
    </row>
    <row r="128" spans="1:39" x14ac:dyDescent="0.3">
      <c r="A128" t="str">
        <f>_xlfn.CONCAT(표1[[#This Row],[Year]],표1[[#This Row],[Player]])</f>
        <v>2004이대호</v>
      </c>
      <c r="B128">
        <v>2004</v>
      </c>
      <c r="C128">
        <v>47</v>
      </c>
      <c r="D128" t="s">
        <v>64</v>
      </c>
      <c r="E128" t="s">
        <v>17</v>
      </c>
      <c r="F128">
        <v>0.248</v>
      </c>
      <c r="G128">
        <v>132</v>
      </c>
      <c r="H128">
        <v>514</v>
      </c>
      <c r="I128">
        <v>444</v>
      </c>
      <c r="J128">
        <v>52</v>
      </c>
      <c r="K128">
        <v>110</v>
      </c>
      <c r="L128">
        <f>표1[[#This Row],[H]]-표1[[#This Row],[2B]]-표1[[#This Row],[3B]]-표1[[#This Row],[HR]]</f>
        <v>64</v>
      </c>
      <c r="M128">
        <v>26</v>
      </c>
      <c r="N128">
        <v>0</v>
      </c>
      <c r="O128">
        <v>20</v>
      </c>
      <c r="P128">
        <v>196</v>
      </c>
      <c r="Q128">
        <v>68</v>
      </c>
      <c r="R128">
        <v>6</v>
      </c>
      <c r="S128">
        <v>6</v>
      </c>
      <c r="T128">
        <v>38</v>
      </c>
      <c r="U128">
        <v>0</v>
      </c>
      <c r="V128">
        <v>4</v>
      </c>
      <c r="W128">
        <v>3</v>
      </c>
      <c r="X128">
        <v>20</v>
      </c>
      <c r="Y128">
        <v>78</v>
      </c>
      <c r="Z128">
        <v>21</v>
      </c>
      <c r="AA128">
        <v>0.441</v>
      </c>
      <c r="AB128">
        <v>0.33100000000000002</v>
      </c>
      <c r="AC128">
        <v>0.77200000000000002</v>
      </c>
      <c r="AD128">
        <v>23</v>
      </c>
      <c r="AE128">
        <v>0.248</v>
      </c>
      <c r="AF128">
        <v>0</v>
      </c>
      <c r="AG128">
        <f>(표1[[#This Row],[TB]]-표1[[#This Row],[H]])/표1[[#This Row],[AB]]</f>
        <v>0.19369369369369369</v>
      </c>
      <c r="AH128">
        <f>(표1[[#This Row],[TB]]-표1[[#This Row],[H]]+표1[[#This Row],[BB]]+표1[[#This Row],[SB]]-표1[[#This Row],[CS]])/표1[[#This Row],[AB]]</f>
        <v>0.28153153153153154</v>
      </c>
      <c r="AI128">
        <f>(표1[[#This Row],[TB]]+표1[[#This Row],[BB]]+표1[[#This Row],[HBP]]+표1[[#This Row],[SB]]-표1[[#This Row],[CS]])/(표1[[#This Row],[AB]]-표1[[#This Row],[H]]+표1[[#This Row],[CS]]+표1[[#This Row],[GDP]])</f>
        <v>0.71229050279329609</v>
      </c>
      <c r="AJ12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61.466147859922181</v>
      </c>
      <c r="AK128">
        <f>표1[[#This Row],[RC]]/((표1[[#This Row],[AB]]-표1[[#This Row],[H]]+표1[[#This Row],[SAC]]+표1[[#This Row],[SF]]+표1[[#This Row],[CS]]+표1[[#This Row],[GDP]])/27)</f>
        <v>4.4853675465348619</v>
      </c>
      <c r="AL12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0.33684251968503937</v>
      </c>
      <c r="AM12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63.006000000000007</v>
      </c>
    </row>
    <row r="129" spans="1:39" x14ac:dyDescent="0.3">
      <c r="A129" t="str">
        <f>_xlfn.CONCAT(표1[[#This Row],[Year]],표1[[#This Row],[Player]])</f>
        <v>2004김주찬</v>
      </c>
      <c r="B129">
        <v>2004</v>
      </c>
      <c r="C129">
        <v>48</v>
      </c>
      <c r="D129" t="s">
        <v>65</v>
      </c>
      <c r="E129" t="s">
        <v>17</v>
      </c>
      <c r="F129">
        <v>0.24199999999999999</v>
      </c>
      <c r="G129">
        <v>120</v>
      </c>
      <c r="H129">
        <v>503</v>
      </c>
      <c r="I129">
        <v>450</v>
      </c>
      <c r="J129">
        <v>53</v>
      </c>
      <c r="K129">
        <v>109</v>
      </c>
      <c r="L129">
        <f>표1[[#This Row],[H]]-표1[[#This Row],[2B]]-표1[[#This Row],[3B]]-표1[[#This Row],[HR]]</f>
        <v>77</v>
      </c>
      <c r="M129">
        <v>20</v>
      </c>
      <c r="N129">
        <v>5</v>
      </c>
      <c r="O129">
        <v>7</v>
      </c>
      <c r="P129">
        <v>160</v>
      </c>
      <c r="Q129">
        <v>42</v>
      </c>
      <c r="R129">
        <v>6</v>
      </c>
      <c r="S129">
        <v>2</v>
      </c>
      <c r="T129">
        <v>32</v>
      </c>
      <c r="U129">
        <v>0</v>
      </c>
      <c r="V129">
        <v>44</v>
      </c>
      <c r="W129">
        <v>10</v>
      </c>
      <c r="X129">
        <v>13</v>
      </c>
      <c r="Y129">
        <v>92</v>
      </c>
      <c r="Z129">
        <v>7</v>
      </c>
      <c r="AA129">
        <v>0.35599999999999998</v>
      </c>
      <c r="AB129">
        <v>0.31</v>
      </c>
      <c r="AC129">
        <v>0.66600000000000004</v>
      </c>
      <c r="AD129">
        <v>26</v>
      </c>
      <c r="AE129">
        <v>0.23899999999999999</v>
      </c>
      <c r="AF129">
        <v>0</v>
      </c>
      <c r="AG129">
        <f>(표1[[#This Row],[TB]]-표1[[#This Row],[H]])/표1[[#This Row],[AB]]</f>
        <v>0.11333333333333333</v>
      </c>
      <c r="AH129">
        <f>(표1[[#This Row],[TB]]-표1[[#This Row],[H]]+표1[[#This Row],[BB]]+표1[[#This Row],[SB]]-표1[[#This Row],[CS]])/표1[[#This Row],[AB]]</f>
        <v>0.26</v>
      </c>
      <c r="AI129">
        <f>(표1[[#This Row],[TB]]+표1[[#This Row],[BB]]+표1[[#This Row],[HBP]]+표1[[#This Row],[SB]]-표1[[#This Row],[CS]])/(표1[[#This Row],[AB]]-표1[[#This Row],[H]]+표1[[#This Row],[CS]]+표1[[#This Row],[GDP]])</f>
        <v>0.66759776536312854</v>
      </c>
      <c r="AJ12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54.129980119284291</v>
      </c>
      <c r="AK129">
        <f>표1[[#This Row],[RC]]/((표1[[#This Row],[AB]]-표1[[#This Row],[H]]+표1[[#This Row],[SAC]]+표1[[#This Row],[SF]]+표1[[#This Row],[CS]]+표1[[#This Row],[GDP]])/27)</f>
        <v>3.9931952547013001</v>
      </c>
      <c r="AL12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0.29592957746478871</v>
      </c>
      <c r="AM12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55.164000000000016</v>
      </c>
    </row>
    <row r="130" spans="1:39" x14ac:dyDescent="0.3">
      <c r="A130" t="str">
        <f>_xlfn.CONCAT(표1[[#This Row],[Year]],표1[[#This Row],[Player]])</f>
        <v>2005이병규</v>
      </c>
      <c r="B130">
        <v>2005</v>
      </c>
      <c r="C130">
        <v>1</v>
      </c>
      <c r="D130" t="s">
        <v>50</v>
      </c>
      <c r="E130" t="s">
        <v>36</v>
      </c>
      <c r="F130">
        <v>0.33700000000000002</v>
      </c>
      <c r="G130">
        <v>119</v>
      </c>
      <c r="H130">
        <v>517</v>
      </c>
      <c r="I130">
        <v>466</v>
      </c>
      <c r="J130">
        <v>62</v>
      </c>
      <c r="K130">
        <v>157</v>
      </c>
      <c r="L130">
        <f>표1[[#This Row],[H]]-표1[[#This Row],[2B]]-표1[[#This Row],[3B]]-표1[[#This Row],[HR]]</f>
        <v>122</v>
      </c>
      <c r="M130">
        <v>24</v>
      </c>
      <c r="N130">
        <v>2</v>
      </c>
      <c r="O130">
        <v>9</v>
      </c>
      <c r="P130">
        <v>212</v>
      </c>
      <c r="Q130">
        <v>75</v>
      </c>
      <c r="R130">
        <v>1</v>
      </c>
      <c r="S130">
        <v>7</v>
      </c>
      <c r="T130">
        <v>34</v>
      </c>
      <c r="U130">
        <v>1</v>
      </c>
      <c r="V130">
        <v>10</v>
      </c>
      <c r="W130">
        <v>6</v>
      </c>
      <c r="X130">
        <v>9</v>
      </c>
      <c r="Y130">
        <v>62</v>
      </c>
      <c r="Z130">
        <v>10</v>
      </c>
      <c r="AA130">
        <v>0.45500000000000002</v>
      </c>
      <c r="AB130">
        <v>0.38800000000000001</v>
      </c>
      <c r="AC130">
        <v>0.84299999999999997</v>
      </c>
      <c r="AD130">
        <v>51</v>
      </c>
      <c r="AE130">
        <v>0.34599999999999997</v>
      </c>
      <c r="AF130">
        <v>0.66700000000000004</v>
      </c>
      <c r="AG130">
        <f>(표1[[#This Row],[TB]]-표1[[#This Row],[H]])/표1[[#This Row],[AB]]</f>
        <v>0.11802575107296137</v>
      </c>
      <c r="AH130">
        <f>(표1[[#This Row],[TB]]-표1[[#This Row],[H]]+표1[[#This Row],[BB]]+표1[[#This Row],[SB]]-표1[[#This Row],[CS]])/표1[[#This Row],[AB]]</f>
        <v>0.19957081545064378</v>
      </c>
      <c r="AI130">
        <f>(표1[[#This Row],[TB]]+표1[[#This Row],[BB]]+표1[[#This Row],[HBP]]+표1[[#This Row],[SB]]-표1[[#This Row],[CS]])/(표1[[#This Row],[AB]]-표1[[#This Row],[H]]+표1[[#This Row],[CS]]+표1[[#This Row],[GDP]])</f>
        <v>0.79692307692307696</v>
      </c>
      <c r="AJ13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82.668317214700181</v>
      </c>
      <c r="AK130">
        <f>표1[[#This Row],[RC]]/((표1[[#This Row],[AB]]-표1[[#This Row],[H]]+표1[[#This Row],[SAC]]+표1[[#This Row],[SF]]+표1[[#This Row],[CS]]+표1[[#This Row],[GDP]])/27)</f>
        <v>6.702836530921636</v>
      </c>
      <c r="AL13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0.36703883495145634</v>
      </c>
      <c r="AM13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78.353999999999985</v>
      </c>
    </row>
    <row r="131" spans="1:39" x14ac:dyDescent="0.3">
      <c r="A131" t="str">
        <f>_xlfn.CONCAT(표1[[#This Row],[Year]],표1[[#This Row],[Player]])</f>
        <v>2005데이비스</v>
      </c>
      <c r="B131">
        <v>2005</v>
      </c>
      <c r="C131">
        <v>2</v>
      </c>
      <c r="D131" t="s">
        <v>56</v>
      </c>
      <c r="E131" t="s">
        <v>11</v>
      </c>
      <c r="F131">
        <v>0.32300000000000001</v>
      </c>
      <c r="G131">
        <v>118</v>
      </c>
      <c r="H131">
        <v>507</v>
      </c>
      <c r="I131">
        <v>431</v>
      </c>
      <c r="J131">
        <v>90</v>
      </c>
      <c r="K131">
        <v>139</v>
      </c>
      <c r="L131">
        <f>표1[[#This Row],[H]]-표1[[#This Row],[2B]]-표1[[#This Row],[3B]]-표1[[#This Row],[HR]]</f>
        <v>91</v>
      </c>
      <c r="M131">
        <v>24</v>
      </c>
      <c r="N131">
        <v>0</v>
      </c>
      <c r="O131">
        <v>24</v>
      </c>
      <c r="P131">
        <v>235</v>
      </c>
      <c r="Q131">
        <v>86</v>
      </c>
      <c r="R131">
        <v>0</v>
      </c>
      <c r="S131">
        <v>6</v>
      </c>
      <c r="T131">
        <v>65</v>
      </c>
      <c r="U131">
        <v>7</v>
      </c>
      <c r="V131">
        <v>7</v>
      </c>
      <c r="W131">
        <v>3</v>
      </c>
      <c r="X131">
        <v>5</v>
      </c>
      <c r="Y131">
        <v>76</v>
      </c>
      <c r="Z131">
        <v>8</v>
      </c>
      <c r="AA131">
        <v>0.54500000000000004</v>
      </c>
      <c r="AB131">
        <v>0.41199999999999998</v>
      </c>
      <c r="AC131">
        <v>0.95699999999999996</v>
      </c>
      <c r="AD131">
        <v>43</v>
      </c>
      <c r="AE131">
        <v>0.28699999999999998</v>
      </c>
      <c r="AF131">
        <v>0</v>
      </c>
      <c r="AG131">
        <f>(표1[[#This Row],[TB]]-표1[[#This Row],[H]])/표1[[#This Row],[AB]]</f>
        <v>0.22273781902552203</v>
      </c>
      <c r="AH131">
        <f>(표1[[#This Row],[TB]]-표1[[#This Row],[H]]+표1[[#This Row],[BB]]+표1[[#This Row],[SB]]-표1[[#This Row],[CS]])/표1[[#This Row],[AB]]</f>
        <v>0.38283062645011601</v>
      </c>
      <c r="AI131">
        <f>(표1[[#This Row],[TB]]+표1[[#This Row],[BB]]+표1[[#This Row],[HBP]]+표1[[#This Row],[SB]]-표1[[#This Row],[CS]])/(표1[[#This Row],[AB]]-표1[[#This Row],[H]]+표1[[#This Row],[CS]]+표1[[#This Row],[GDP]])</f>
        <v>1.0198019801980198</v>
      </c>
      <c r="AJ13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100.81207100591715</v>
      </c>
      <c r="AK131">
        <f>표1[[#This Row],[RC]]/((표1[[#This Row],[AB]]-표1[[#This Row],[H]]+표1[[#This Row],[SAC]]+표1[[#This Row],[SF]]+표1[[#This Row],[CS]]+표1[[#This Row],[GDP]])/27)</f>
        <v>8.8088217383811092</v>
      </c>
      <c r="AL13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0.40738400000000002</v>
      </c>
      <c r="AM13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93.182000000000031</v>
      </c>
    </row>
    <row r="132" spans="1:39" x14ac:dyDescent="0.3">
      <c r="A132" t="str">
        <f>_xlfn.CONCAT(표1[[#This Row],[Year]],표1[[#This Row],[Player]])</f>
        <v>2005김태균</v>
      </c>
      <c r="B132">
        <v>2005</v>
      </c>
      <c r="C132">
        <v>3</v>
      </c>
      <c r="D132" t="s">
        <v>10</v>
      </c>
      <c r="E132" t="s">
        <v>11</v>
      </c>
      <c r="F132">
        <v>0.317</v>
      </c>
      <c r="G132">
        <v>124</v>
      </c>
      <c r="H132">
        <v>529</v>
      </c>
      <c r="I132">
        <v>461</v>
      </c>
      <c r="J132">
        <v>73</v>
      </c>
      <c r="K132">
        <v>146</v>
      </c>
      <c r="L132">
        <f>표1[[#This Row],[H]]-표1[[#This Row],[2B]]-표1[[#This Row],[3B]]-표1[[#This Row],[HR]]</f>
        <v>88</v>
      </c>
      <c r="M132">
        <v>33</v>
      </c>
      <c r="N132">
        <v>2</v>
      </c>
      <c r="O132">
        <v>23</v>
      </c>
      <c r="P132">
        <v>252</v>
      </c>
      <c r="Q132">
        <v>100</v>
      </c>
      <c r="R132">
        <v>0</v>
      </c>
      <c r="S132">
        <v>2</v>
      </c>
      <c r="T132">
        <v>60</v>
      </c>
      <c r="U132">
        <v>5</v>
      </c>
      <c r="V132">
        <v>3</v>
      </c>
      <c r="W132">
        <v>1</v>
      </c>
      <c r="X132">
        <v>6</v>
      </c>
      <c r="Y132">
        <v>73</v>
      </c>
      <c r="Z132">
        <v>20</v>
      </c>
      <c r="AA132">
        <v>0.54700000000000004</v>
      </c>
      <c r="AB132">
        <v>0.40100000000000002</v>
      </c>
      <c r="AC132">
        <v>0.94799999999999995</v>
      </c>
      <c r="AD132">
        <v>39</v>
      </c>
      <c r="AE132">
        <v>0.33300000000000002</v>
      </c>
      <c r="AF132">
        <v>0</v>
      </c>
      <c r="AG132">
        <f>(표1[[#This Row],[TB]]-표1[[#This Row],[H]])/표1[[#This Row],[AB]]</f>
        <v>0.2299349240780911</v>
      </c>
      <c r="AH132">
        <f>(표1[[#This Row],[TB]]-표1[[#This Row],[H]]+표1[[#This Row],[BB]]+표1[[#This Row],[SB]]-표1[[#This Row],[CS]])/표1[[#This Row],[AB]]</f>
        <v>0.36442516268980479</v>
      </c>
      <c r="AI132">
        <f>(표1[[#This Row],[TB]]+표1[[#This Row],[BB]]+표1[[#This Row],[HBP]]+표1[[#This Row],[SB]]-표1[[#This Row],[CS]])/(표1[[#This Row],[AB]]-표1[[#This Row],[H]]+표1[[#This Row],[CS]]+표1[[#This Row],[GDP]])</f>
        <v>0.95238095238095233</v>
      </c>
      <c r="AJ13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97.651909262759943</v>
      </c>
      <c r="AK132">
        <f>표1[[#This Row],[RC]]/((표1[[#This Row],[AB]]-표1[[#This Row],[H]]+표1[[#This Row],[SAC]]+표1[[#This Row],[SF]]+표1[[#This Row],[CS]]+표1[[#This Row],[GDP]])/27)</f>
        <v>7.8005963020547879</v>
      </c>
      <c r="AL13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0.40482824427480918</v>
      </c>
      <c r="AM13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89.575999999999993</v>
      </c>
    </row>
    <row r="133" spans="1:39" x14ac:dyDescent="0.3">
      <c r="A133" t="str">
        <f>_xlfn.CONCAT(표1[[#This Row],[Year]],표1[[#This Row],[Player]])</f>
        <v>2005김재현</v>
      </c>
      <c r="B133">
        <v>2005</v>
      </c>
      <c r="C133">
        <v>4</v>
      </c>
      <c r="D133" t="s">
        <v>54</v>
      </c>
      <c r="E133" t="s">
        <v>8</v>
      </c>
      <c r="F133">
        <v>0.315</v>
      </c>
      <c r="G133">
        <v>120</v>
      </c>
      <c r="H133">
        <v>499</v>
      </c>
      <c r="I133">
        <v>400</v>
      </c>
      <c r="J133">
        <v>63</v>
      </c>
      <c r="K133">
        <v>126</v>
      </c>
      <c r="L133">
        <f>표1[[#This Row],[H]]-표1[[#This Row],[2B]]-표1[[#This Row],[3B]]-표1[[#This Row],[HR]]</f>
        <v>90</v>
      </c>
      <c r="M133">
        <v>17</v>
      </c>
      <c r="N133">
        <v>0</v>
      </c>
      <c r="O133">
        <v>19</v>
      </c>
      <c r="P133">
        <v>200</v>
      </c>
      <c r="Q133">
        <v>77</v>
      </c>
      <c r="R133">
        <v>0</v>
      </c>
      <c r="S133">
        <v>3</v>
      </c>
      <c r="T133">
        <v>80</v>
      </c>
      <c r="U133">
        <v>10</v>
      </c>
      <c r="V133">
        <v>2</v>
      </c>
      <c r="W133">
        <v>2</v>
      </c>
      <c r="X133">
        <v>16</v>
      </c>
      <c r="Y133">
        <v>59</v>
      </c>
      <c r="Z133">
        <v>9</v>
      </c>
      <c r="AA133">
        <v>0.5</v>
      </c>
      <c r="AB133">
        <v>0.44500000000000001</v>
      </c>
      <c r="AC133">
        <v>0.94499999999999995</v>
      </c>
      <c r="AD133">
        <v>37</v>
      </c>
      <c r="AE133">
        <v>0.314</v>
      </c>
      <c r="AF133">
        <v>0.28599999999999998</v>
      </c>
      <c r="AG133">
        <f>(표1[[#This Row],[TB]]-표1[[#This Row],[H]])/표1[[#This Row],[AB]]</f>
        <v>0.185</v>
      </c>
      <c r="AH133">
        <f>(표1[[#This Row],[TB]]-표1[[#This Row],[H]]+표1[[#This Row],[BB]]+표1[[#This Row],[SB]]-표1[[#This Row],[CS]])/표1[[#This Row],[AB]]</f>
        <v>0.38500000000000001</v>
      </c>
      <c r="AI133">
        <f>(표1[[#This Row],[TB]]+표1[[#This Row],[BB]]+표1[[#This Row],[HBP]]+표1[[#This Row],[SB]]-표1[[#This Row],[CS]])/(표1[[#This Row],[AB]]-표1[[#This Row],[H]]+표1[[#This Row],[CS]]+표1[[#This Row],[GDP]])</f>
        <v>1.0385964912280701</v>
      </c>
      <c r="AJ13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95.123366733466938</v>
      </c>
      <c r="AK133">
        <f>표1[[#This Row],[RC]]/((표1[[#This Row],[AB]]-표1[[#This Row],[H]]+표1[[#This Row],[SAC]]+표1[[#This Row],[SF]]+표1[[#This Row],[CS]]+표1[[#This Row],[GDP]])/27)</f>
        <v>8.9178156312625259</v>
      </c>
      <c r="AL13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0.40890184049079753</v>
      </c>
      <c r="AM13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88.707999999999998</v>
      </c>
    </row>
    <row r="134" spans="1:39" x14ac:dyDescent="0.3">
      <c r="A134" t="str">
        <f>_xlfn.CONCAT(표1[[#This Row],[Year]],표1[[#This Row],[Player]])</f>
        <v>2005이종범</v>
      </c>
      <c r="B134">
        <v>2005</v>
      </c>
      <c r="C134">
        <v>5</v>
      </c>
      <c r="D134" t="s">
        <v>14</v>
      </c>
      <c r="E134" t="s">
        <v>13</v>
      </c>
      <c r="F134">
        <v>0.312</v>
      </c>
      <c r="G134">
        <v>118</v>
      </c>
      <c r="H134">
        <v>495</v>
      </c>
      <c r="I134">
        <v>430</v>
      </c>
      <c r="J134">
        <v>69</v>
      </c>
      <c r="K134">
        <v>134</v>
      </c>
      <c r="L134">
        <f>표1[[#This Row],[H]]-표1[[#This Row],[2B]]-표1[[#This Row],[3B]]-표1[[#This Row],[HR]]</f>
        <v>101</v>
      </c>
      <c r="M134">
        <v>25</v>
      </c>
      <c r="N134">
        <v>2</v>
      </c>
      <c r="O134">
        <v>6</v>
      </c>
      <c r="P134">
        <v>181</v>
      </c>
      <c r="Q134">
        <v>36</v>
      </c>
      <c r="R134">
        <v>7</v>
      </c>
      <c r="S134">
        <v>0</v>
      </c>
      <c r="T134">
        <v>47</v>
      </c>
      <c r="U134">
        <v>2</v>
      </c>
      <c r="V134">
        <v>28</v>
      </c>
      <c r="W134">
        <v>5</v>
      </c>
      <c r="X134">
        <v>11</v>
      </c>
      <c r="Y134">
        <v>49</v>
      </c>
      <c r="Z134">
        <v>8</v>
      </c>
      <c r="AA134">
        <v>0.42099999999999999</v>
      </c>
      <c r="AB134">
        <v>0.39300000000000002</v>
      </c>
      <c r="AC134">
        <v>0.81399999999999995</v>
      </c>
      <c r="AD134">
        <v>38</v>
      </c>
      <c r="AE134">
        <v>0.22800000000000001</v>
      </c>
      <c r="AF134">
        <v>0.33300000000000002</v>
      </c>
      <c r="AG134">
        <f>(표1[[#This Row],[TB]]-표1[[#This Row],[H]])/표1[[#This Row],[AB]]</f>
        <v>0.10930232558139535</v>
      </c>
      <c r="AH134">
        <f>(표1[[#This Row],[TB]]-표1[[#This Row],[H]]+표1[[#This Row],[BB]]+표1[[#This Row],[SB]]-표1[[#This Row],[CS]])/표1[[#This Row],[AB]]</f>
        <v>0.27209302325581397</v>
      </c>
      <c r="AI134">
        <f>(표1[[#This Row],[TB]]+표1[[#This Row],[BB]]+표1[[#This Row],[HBP]]+표1[[#This Row],[SB]]-표1[[#This Row],[CS]])/(표1[[#This Row],[AB]]-표1[[#This Row],[H]]+표1[[#This Row],[CS]]+표1[[#This Row],[GDP]])</f>
        <v>0.84789644012944987</v>
      </c>
      <c r="AJ13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77.299070707070712</v>
      </c>
      <c r="AK134">
        <f>표1[[#This Row],[RC]]/((표1[[#This Row],[AB]]-표1[[#This Row],[H]]+표1[[#This Row],[SAC]]+표1[[#This Row],[SF]]+표1[[#This Row],[CS]]+표1[[#This Row],[GDP]])/27)</f>
        <v>6.6046674338319908</v>
      </c>
      <c r="AL13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0.36065843621399174</v>
      </c>
      <c r="AM13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72.488000000000014</v>
      </c>
    </row>
    <row r="135" spans="1:39" x14ac:dyDescent="0.3">
      <c r="A135" t="str">
        <f>_xlfn.CONCAT(표1[[#This Row],[Year]],표1[[#This Row],[Player]])</f>
        <v>2005임재철</v>
      </c>
      <c r="B135">
        <v>2005</v>
      </c>
      <c r="C135">
        <v>6</v>
      </c>
      <c r="D135" t="s">
        <v>66</v>
      </c>
      <c r="E135" t="s">
        <v>1</v>
      </c>
      <c r="F135">
        <v>0.31</v>
      </c>
      <c r="G135">
        <v>109</v>
      </c>
      <c r="H135">
        <v>401</v>
      </c>
      <c r="I135">
        <v>336</v>
      </c>
      <c r="J135">
        <v>41</v>
      </c>
      <c r="K135">
        <v>104</v>
      </c>
      <c r="L135">
        <f>표1[[#This Row],[H]]-표1[[#This Row],[2B]]-표1[[#This Row],[3B]]-표1[[#This Row],[HR]]</f>
        <v>85</v>
      </c>
      <c r="M135">
        <v>13</v>
      </c>
      <c r="N135">
        <v>3</v>
      </c>
      <c r="O135">
        <v>3</v>
      </c>
      <c r="P135">
        <v>132</v>
      </c>
      <c r="Q135">
        <v>30</v>
      </c>
      <c r="R135">
        <v>22</v>
      </c>
      <c r="S135">
        <v>4</v>
      </c>
      <c r="T135">
        <v>35</v>
      </c>
      <c r="U135">
        <v>0</v>
      </c>
      <c r="V135">
        <v>10</v>
      </c>
      <c r="W135">
        <v>3</v>
      </c>
      <c r="X135">
        <v>4</v>
      </c>
      <c r="Y135">
        <v>51</v>
      </c>
      <c r="Z135">
        <v>5</v>
      </c>
      <c r="AA135">
        <v>0.39300000000000002</v>
      </c>
      <c r="AB135">
        <v>0.377</v>
      </c>
      <c r="AC135">
        <v>0.77</v>
      </c>
      <c r="AD135">
        <v>31</v>
      </c>
      <c r="AE135">
        <v>0.25900000000000001</v>
      </c>
      <c r="AF135">
        <v>0</v>
      </c>
      <c r="AG135">
        <f>(표1[[#This Row],[TB]]-표1[[#This Row],[H]])/표1[[#This Row],[AB]]</f>
        <v>8.3333333333333329E-2</v>
      </c>
      <c r="AH135">
        <f>(표1[[#This Row],[TB]]-표1[[#This Row],[H]]+표1[[#This Row],[BB]]+표1[[#This Row],[SB]]-표1[[#This Row],[CS]])/표1[[#This Row],[AB]]</f>
        <v>0.20833333333333334</v>
      </c>
      <c r="AI135">
        <f>(표1[[#This Row],[TB]]+표1[[#This Row],[BB]]+표1[[#This Row],[HBP]]+표1[[#This Row],[SB]]-표1[[#This Row],[CS]])/(표1[[#This Row],[AB]]-표1[[#This Row],[H]]+표1[[#This Row],[CS]]+표1[[#This Row],[GDP]])</f>
        <v>0.7416666666666667</v>
      </c>
      <c r="AJ13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54.154862842892761</v>
      </c>
      <c r="AK135">
        <f>표1[[#This Row],[RC]]/((표1[[#This Row],[AB]]-표1[[#This Row],[H]]+표1[[#This Row],[SAC]]+표1[[#This Row],[SF]]+표1[[#This Row],[CS]]+표1[[#This Row],[GDP]])/27)</f>
        <v>5.4969221682635512</v>
      </c>
      <c r="AL13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0.34170712401055403</v>
      </c>
      <c r="AM13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52.621999999999993</v>
      </c>
    </row>
    <row r="136" spans="1:39" x14ac:dyDescent="0.3">
      <c r="A136" t="str">
        <f>_xlfn.CONCAT(표1[[#This Row],[Year]],표1[[#This Row],[Player]])</f>
        <v>2005박재홍</v>
      </c>
      <c r="B136">
        <v>2005</v>
      </c>
      <c r="C136">
        <v>7</v>
      </c>
      <c r="D136" t="s">
        <v>18</v>
      </c>
      <c r="E136" t="s">
        <v>8</v>
      </c>
      <c r="F136">
        <v>0.30399999999999999</v>
      </c>
      <c r="G136">
        <v>109</v>
      </c>
      <c r="H136">
        <v>495</v>
      </c>
      <c r="I136">
        <v>421</v>
      </c>
      <c r="J136">
        <v>76</v>
      </c>
      <c r="K136">
        <v>128</v>
      </c>
      <c r="L136">
        <f>표1[[#This Row],[H]]-표1[[#This Row],[2B]]-표1[[#This Row],[3B]]-표1[[#This Row],[HR]]</f>
        <v>88</v>
      </c>
      <c r="M136">
        <v>21</v>
      </c>
      <c r="N136">
        <v>1</v>
      </c>
      <c r="O136">
        <v>18</v>
      </c>
      <c r="P136">
        <v>205</v>
      </c>
      <c r="Q136">
        <v>63</v>
      </c>
      <c r="R136">
        <v>2</v>
      </c>
      <c r="S136">
        <v>3</v>
      </c>
      <c r="T136">
        <v>67</v>
      </c>
      <c r="U136">
        <v>2</v>
      </c>
      <c r="V136">
        <v>22</v>
      </c>
      <c r="W136">
        <v>10</v>
      </c>
      <c r="X136">
        <v>2</v>
      </c>
      <c r="Y136">
        <v>78</v>
      </c>
      <c r="Z136">
        <v>10</v>
      </c>
      <c r="AA136">
        <v>0.48699999999999999</v>
      </c>
      <c r="AB136">
        <v>0.4</v>
      </c>
      <c r="AC136">
        <v>0.88700000000000001</v>
      </c>
      <c r="AD136">
        <v>34</v>
      </c>
      <c r="AE136">
        <v>0.26500000000000001</v>
      </c>
      <c r="AF136">
        <v>0</v>
      </c>
      <c r="AG136">
        <f>(표1[[#This Row],[TB]]-표1[[#This Row],[H]])/표1[[#This Row],[AB]]</f>
        <v>0.1828978622327791</v>
      </c>
      <c r="AH136">
        <f>(표1[[#This Row],[TB]]-표1[[#This Row],[H]]+표1[[#This Row],[BB]]+표1[[#This Row],[SB]]-표1[[#This Row],[CS]])/표1[[#This Row],[AB]]</f>
        <v>0.37054631828978624</v>
      </c>
      <c r="AI136">
        <f>(표1[[#This Row],[TB]]+표1[[#This Row],[BB]]+표1[[#This Row],[HBP]]+표1[[#This Row],[SB]]-표1[[#This Row],[CS]])/(표1[[#This Row],[AB]]-표1[[#This Row],[H]]+표1[[#This Row],[CS]]+표1[[#This Row],[GDP]])</f>
        <v>0.91373801916932906</v>
      </c>
      <c r="AJ13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84.552363636363637</v>
      </c>
      <c r="AK136">
        <f>표1[[#This Row],[RC]]/((표1[[#This Row],[AB]]-표1[[#This Row],[H]]+표1[[#This Row],[SAC]]+표1[[#This Row],[SF]]+표1[[#This Row],[CS]]+표1[[#This Row],[GDP]])/27)</f>
        <v>7.1789742710120068</v>
      </c>
      <c r="AL13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0.38530549898167005</v>
      </c>
      <c r="AM13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80.615999999999985</v>
      </c>
    </row>
    <row r="137" spans="1:39" x14ac:dyDescent="0.3">
      <c r="A137" t="str">
        <f>_xlfn.CONCAT(표1[[#This Row],[Year]],표1[[#This Row],[Player]])</f>
        <v>2005클리어</v>
      </c>
      <c r="B137">
        <v>2005</v>
      </c>
      <c r="C137">
        <v>8</v>
      </c>
      <c r="D137" t="s">
        <v>67</v>
      </c>
      <c r="E137" t="s">
        <v>36</v>
      </c>
      <c r="F137">
        <v>0.30299999999999999</v>
      </c>
      <c r="G137">
        <v>110</v>
      </c>
      <c r="H137">
        <v>453</v>
      </c>
      <c r="I137">
        <v>402</v>
      </c>
      <c r="J137">
        <v>64</v>
      </c>
      <c r="K137">
        <v>122</v>
      </c>
      <c r="L137">
        <f>표1[[#This Row],[H]]-표1[[#This Row],[2B]]-표1[[#This Row],[3B]]-표1[[#This Row],[HR]]</f>
        <v>80</v>
      </c>
      <c r="M137">
        <v>23</v>
      </c>
      <c r="N137">
        <v>4</v>
      </c>
      <c r="O137">
        <v>15</v>
      </c>
      <c r="P137">
        <v>198</v>
      </c>
      <c r="Q137">
        <v>61</v>
      </c>
      <c r="R137">
        <v>0</v>
      </c>
      <c r="S137">
        <v>5</v>
      </c>
      <c r="T137">
        <v>36</v>
      </c>
      <c r="U137">
        <v>3</v>
      </c>
      <c r="V137">
        <v>19</v>
      </c>
      <c r="W137">
        <v>5</v>
      </c>
      <c r="X137">
        <v>10</v>
      </c>
      <c r="Y137">
        <v>85</v>
      </c>
      <c r="Z137">
        <v>8</v>
      </c>
      <c r="AA137">
        <v>0.49299999999999999</v>
      </c>
      <c r="AB137">
        <v>0.371</v>
      </c>
      <c r="AC137">
        <v>0.86399999999999999</v>
      </c>
      <c r="AD137">
        <v>34</v>
      </c>
      <c r="AE137">
        <v>0.28100000000000003</v>
      </c>
      <c r="AF137">
        <v>0</v>
      </c>
      <c r="AG137">
        <f>(표1[[#This Row],[TB]]-표1[[#This Row],[H]])/표1[[#This Row],[AB]]</f>
        <v>0.1890547263681592</v>
      </c>
      <c r="AH137">
        <f>(표1[[#This Row],[TB]]-표1[[#This Row],[H]]+표1[[#This Row],[BB]]+표1[[#This Row],[SB]]-표1[[#This Row],[CS]])/표1[[#This Row],[AB]]</f>
        <v>0.31343283582089554</v>
      </c>
      <c r="AI137">
        <f>(표1[[#This Row],[TB]]+표1[[#This Row],[BB]]+표1[[#This Row],[HBP]]+표1[[#This Row],[SB]]-표1[[#This Row],[CS]])/(표1[[#This Row],[AB]]-표1[[#This Row],[H]]+표1[[#This Row],[CS]]+표1[[#This Row],[GDP]])</f>
        <v>0.88054607508532423</v>
      </c>
      <c r="AJ13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75.843929359823406</v>
      </c>
      <c r="AK137">
        <f>표1[[#This Row],[RC]]/((표1[[#This Row],[AB]]-표1[[#This Row],[H]]+표1[[#This Row],[SAC]]+표1[[#This Row],[SF]]+표1[[#This Row],[CS]]+표1[[#This Row],[GDP]])/27)</f>
        <v>6.8717654117960807</v>
      </c>
      <c r="AL13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0.37088000000000004</v>
      </c>
      <c r="AM13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72.52000000000001</v>
      </c>
    </row>
    <row r="138" spans="1:39" x14ac:dyDescent="0.3">
      <c r="A138" t="str">
        <f>_xlfn.CONCAT(표1[[#This Row],[Year]],표1[[#This Row],[Player]])</f>
        <v>2005조원우</v>
      </c>
      <c r="B138">
        <v>2005</v>
      </c>
      <c r="C138">
        <v>9</v>
      </c>
      <c r="D138" t="s">
        <v>32</v>
      </c>
      <c r="E138" t="s">
        <v>11</v>
      </c>
      <c r="F138">
        <v>0.30199999999999999</v>
      </c>
      <c r="G138">
        <v>95</v>
      </c>
      <c r="H138">
        <v>392</v>
      </c>
      <c r="I138">
        <v>351</v>
      </c>
      <c r="J138">
        <v>43</v>
      </c>
      <c r="K138">
        <v>106</v>
      </c>
      <c r="L138">
        <f>표1[[#This Row],[H]]-표1[[#This Row],[2B]]-표1[[#This Row],[3B]]-표1[[#This Row],[HR]]</f>
        <v>82</v>
      </c>
      <c r="M138">
        <v>17</v>
      </c>
      <c r="N138">
        <v>1</v>
      </c>
      <c r="O138">
        <v>6</v>
      </c>
      <c r="P138">
        <v>143</v>
      </c>
      <c r="Q138">
        <v>42</v>
      </c>
      <c r="R138">
        <v>3</v>
      </c>
      <c r="S138">
        <v>3</v>
      </c>
      <c r="T138">
        <v>31</v>
      </c>
      <c r="U138">
        <v>0</v>
      </c>
      <c r="V138">
        <v>7</v>
      </c>
      <c r="W138">
        <v>3</v>
      </c>
      <c r="X138">
        <v>4</v>
      </c>
      <c r="Y138">
        <v>50</v>
      </c>
      <c r="Z138">
        <v>5</v>
      </c>
      <c r="AA138">
        <v>0.40699999999999997</v>
      </c>
      <c r="AB138">
        <v>0.36199999999999999</v>
      </c>
      <c r="AC138">
        <v>0.76900000000000002</v>
      </c>
      <c r="AD138">
        <v>30</v>
      </c>
      <c r="AE138">
        <v>0.31</v>
      </c>
      <c r="AF138">
        <v>0.25</v>
      </c>
      <c r="AG138">
        <f>(표1[[#This Row],[TB]]-표1[[#This Row],[H]])/표1[[#This Row],[AB]]</f>
        <v>0.10541310541310542</v>
      </c>
      <c r="AH138">
        <f>(표1[[#This Row],[TB]]-표1[[#This Row],[H]]+표1[[#This Row],[BB]]+표1[[#This Row],[SB]]-표1[[#This Row],[CS]])/표1[[#This Row],[AB]]</f>
        <v>0.20512820512820512</v>
      </c>
      <c r="AI138">
        <f>(표1[[#This Row],[TB]]+표1[[#This Row],[BB]]+표1[[#This Row],[HBP]]+표1[[#This Row],[SB]]-표1[[#This Row],[CS]])/(표1[[#This Row],[AB]]-표1[[#This Row],[H]]+표1[[#This Row],[CS]]+표1[[#This Row],[GDP]])</f>
        <v>0.71936758893280628</v>
      </c>
      <c r="AJ13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53.898928571428563</v>
      </c>
      <c r="AK138">
        <f>표1[[#This Row],[RC]]/((표1[[#This Row],[AB]]-표1[[#This Row],[H]]+표1[[#This Row],[SAC]]+표1[[#This Row],[SF]]+표1[[#This Row],[CS]]+표1[[#This Row],[GDP]])/27)</f>
        <v>5.6188072255929384</v>
      </c>
      <c r="AL13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0.33960668380462727</v>
      </c>
      <c r="AM13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52.05</v>
      </c>
    </row>
    <row r="139" spans="1:39" x14ac:dyDescent="0.3">
      <c r="A139" t="str">
        <f>_xlfn.CONCAT(표1[[#This Row],[Year]],표1[[#This Row],[Player]])</f>
        <v>2005장성호</v>
      </c>
      <c r="B139">
        <v>2005</v>
      </c>
      <c r="C139">
        <v>10</v>
      </c>
      <c r="D139" t="s">
        <v>12</v>
      </c>
      <c r="E139" t="s">
        <v>13</v>
      </c>
      <c r="F139">
        <v>0.3</v>
      </c>
      <c r="G139">
        <v>123</v>
      </c>
      <c r="H139">
        <v>533</v>
      </c>
      <c r="I139">
        <v>464</v>
      </c>
      <c r="J139">
        <v>70</v>
      </c>
      <c r="K139">
        <v>139</v>
      </c>
      <c r="L139">
        <f>표1[[#This Row],[H]]-표1[[#This Row],[2B]]-표1[[#This Row],[3B]]-표1[[#This Row],[HR]]</f>
        <v>99</v>
      </c>
      <c r="M139">
        <v>23</v>
      </c>
      <c r="N139">
        <v>1</v>
      </c>
      <c r="O139">
        <v>16</v>
      </c>
      <c r="P139">
        <v>212</v>
      </c>
      <c r="Q139">
        <v>74</v>
      </c>
      <c r="R139">
        <v>1</v>
      </c>
      <c r="S139">
        <v>4</v>
      </c>
      <c r="T139">
        <v>61</v>
      </c>
      <c r="U139">
        <v>10</v>
      </c>
      <c r="V139">
        <v>4</v>
      </c>
      <c r="W139">
        <v>1</v>
      </c>
      <c r="X139">
        <v>3</v>
      </c>
      <c r="Y139">
        <v>48</v>
      </c>
      <c r="Z139">
        <v>12</v>
      </c>
      <c r="AA139">
        <v>0.45700000000000002</v>
      </c>
      <c r="AB139">
        <v>0.38200000000000001</v>
      </c>
      <c r="AC139">
        <v>0.83899999999999997</v>
      </c>
      <c r="AD139">
        <v>37</v>
      </c>
      <c r="AE139">
        <v>0.29799999999999999</v>
      </c>
      <c r="AF139">
        <v>0.75</v>
      </c>
      <c r="AG139">
        <f>(표1[[#This Row],[TB]]-표1[[#This Row],[H]])/표1[[#This Row],[AB]]</f>
        <v>0.15732758620689655</v>
      </c>
      <c r="AH139">
        <f>(표1[[#This Row],[TB]]-표1[[#This Row],[H]]+표1[[#This Row],[BB]]+표1[[#This Row],[SB]]-표1[[#This Row],[CS]])/표1[[#This Row],[AB]]</f>
        <v>0.29525862068965519</v>
      </c>
      <c r="AI139">
        <f>(표1[[#This Row],[TB]]+표1[[#This Row],[BB]]+표1[[#This Row],[HBP]]+표1[[#This Row],[SB]]-표1[[#This Row],[CS]])/(표1[[#This Row],[AB]]-표1[[#This Row],[H]]+표1[[#This Row],[CS]]+표1[[#This Row],[GDP]])</f>
        <v>0.82544378698224852</v>
      </c>
      <c r="AJ13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82.245403377110705</v>
      </c>
      <c r="AK139">
        <f>표1[[#This Row],[RC]]/((표1[[#This Row],[AB]]-표1[[#This Row],[H]]+표1[[#This Row],[SAC]]+표1[[#This Row],[SF]]+표1[[#This Row],[CS]]+표1[[#This Row],[GDP]])/27)</f>
        <v>6.474127962629705</v>
      </c>
      <c r="AL13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0.36083333333333334</v>
      </c>
      <c r="AM13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78.846000000000032</v>
      </c>
    </row>
    <row r="140" spans="1:39" x14ac:dyDescent="0.3">
      <c r="A140" t="str">
        <f>_xlfn.CONCAT(표1[[#This Row],[Year]],표1[[#This Row],[Player]])</f>
        <v>2005박한이</v>
      </c>
      <c r="B140">
        <v>2005</v>
      </c>
      <c r="C140">
        <v>11</v>
      </c>
      <c r="D140" t="s">
        <v>9</v>
      </c>
      <c r="E140" t="s">
        <v>6</v>
      </c>
      <c r="F140">
        <v>0.29499999999999998</v>
      </c>
      <c r="G140">
        <v>123</v>
      </c>
      <c r="H140">
        <v>551</v>
      </c>
      <c r="I140">
        <v>471</v>
      </c>
      <c r="J140">
        <v>62</v>
      </c>
      <c r="K140">
        <v>139</v>
      </c>
      <c r="L140">
        <f>표1[[#This Row],[H]]-표1[[#This Row],[2B]]-표1[[#This Row],[3B]]-표1[[#This Row],[HR]]</f>
        <v>109</v>
      </c>
      <c r="M140">
        <v>21</v>
      </c>
      <c r="N140">
        <v>0</v>
      </c>
      <c r="O140">
        <v>9</v>
      </c>
      <c r="P140">
        <v>187</v>
      </c>
      <c r="Q140">
        <v>59</v>
      </c>
      <c r="R140">
        <v>12</v>
      </c>
      <c r="S140">
        <v>4</v>
      </c>
      <c r="T140">
        <v>55</v>
      </c>
      <c r="U140">
        <v>2</v>
      </c>
      <c r="V140">
        <v>12</v>
      </c>
      <c r="W140">
        <v>10</v>
      </c>
      <c r="X140">
        <v>9</v>
      </c>
      <c r="Y140">
        <v>51</v>
      </c>
      <c r="Z140">
        <v>15</v>
      </c>
      <c r="AA140">
        <v>0.39700000000000002</v>
      </c>
      <c r="AB140">
        <v>0.377</v>
      </c>
      <c r="AC140">
        <v>0.77400000000000002</v>
      </c>
      <c r="AD140">
        <v>41</v>
      </c>
      <c r="AE140">
        <v>0.30299999999999999</v>
      </c>
      <c r="AF140">
        <v>1</v>
      </c>
      <c r="AG140">
        <f>(표1[[#This Row],[TB]]-표1[[#This Row],[H]])/표1[[#This Row],[AB]]</f>
        <v>0.10191082802547771</v>
      </c>
      <c r="AH140">
        <f>(표1[[#This Row],[TB]]-표1[[#This Row],[H]]+표1[[#This Row],[BB]]+표1[[#This Row],[SB]]-표1[[#This Row],[CS]])/표1[[#This Row],[AB]]</f>
        <v>0.22292993630573249</v>
      </c>
      <c r="AI140">
        <f>(표1[[#This Row],[TB]]+표1[[#This Row],[BB]]+표1[[#This Row],[HBP]]+표1[[#This Row],[SB]]-표1[[#This Row],[CS]])/(표1[[#This Row],[AB]]-표1[[#This Row],[H]]+표1[[#This Row],[CS]]+표1[[#This Row],[GDP]])</f>
        <v>0.70868347338935578</v>
      </c>
      <c r="AJ14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70.321306715063528</v>
      </c>
      <c r="AK140">
        <f>표1[[#This Row],[RC]]/((표1[[#This Row],[AB]]-표1[[#This Row],[H]]+표1[[#This Row],[SAC]]+표1[[#This Row],[SF]]+표1[[#This Row],[CS]]+표1[[#This Row],[GDP]])/27)</f>
        <v>5.0902822555139817</v>
      </c>
      <c r="AL14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0.34338175046554925</v>
      </c>
      <c r="AM14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69.24199999999999</v>
      </c>
    </row>
    <row r="141" spans="1:39" x14ac:dyDescent="0.3">
      <c r="A141" t="str">
        <f>_xlfn.CONCAT(표1[[#This Row],[Year]],표1[[#This Row],[Player]])</f>
        <v>2005김한수</v>
      </c>
      <c r="B141">
        <v>2005</v>
      </c>
      <c r="C141">
        <v>12</v>
      </c>
      <c r="D141" t="s">
        <v>21</v>
      </c>
      <c r="E141" t="s">
        <v>6</v>
      </c>
      <c r="F141">
        <v>0.29299999999999998</v>
      </c>
      <c r="G141">
        <v>114</v>
      </c>
      <c r="H141">
        <v>465</v>
      </c>
      <c r="I141">
        <v>406</v>
      </c>
      <c r="J141">
        <v>55</v>
      </c>
      <c r="K141">
        <v>119</v>
      </c>
      <c r="L141">
        <f>표1[[#This Row],[H]]-표1[[#This Row],[2B]]-표1[[#This Row],[3B]]-표1[[#This Row],[HR]]</f>
        <v>86</v>
      </c>
      <c r="M141">
        <v>18</v>
      </c>
      <c r="N141">
        <v>0</v>
      </c>
      <c r="O141">
        <v>15</v>
      </c>
      <c r="P141">
        <v>182</v>
      </c>
      <c r="Q141">
        <v>73</v>
      </c>
      <c r="R141">
        <v>3</v>
      </c>
      <c r="S141">
        <v>3</v>
      </c>
      <c r="T141">
        <v>35</v>
      </c>
      <c r="U141">
        <v>3</v>
      </c>
      <c r="V141">
        <v>1</v>
      </c>
      <c r="W141">
        <v>0</v>
      </c>
      <c r="X141">
        <v>18</v>
      </c>
      <c r="Y141">
        <v>68</v>
      </c>
      <c r="Z141">
        <v>9</v>
      </c>
      <c r="AA141">
        <v>0.44800000000000001</v>
      </c>
      <c r="AB141">
        <v>0.372</v>
      </c>
      <c r="AC141">
        <v>0.82</v>
      </c>
      <c r="AD141">
        <v>30</v>
      </c>
      <c r="AE141">
        <v>0.29199999999999998</v>
      </c>
      <c r="AF141">
        <v>0</v>
      </c>
      <c r="AG141">
        <f>(표1[[#This Row],[TB]]-표1[[#This Row],[H]])/표1[[#This Row],[AB]]</f>
        <v>0.15517241379310345</v>
      </c>
      <c r="AH141">
        <f>(표1[[#This Row],[TB]]-표1[[#This Row],[H]]+표1[[#This Row],[BB]]+표1[[#This Row],[SB]]-표1[[#This Row],[CS]])/표1[[#This Row],[AB]]</f>
        <v>0.24384236453201971</v>
      </c>
      <c r="AI141">
        <f>(표1[[#This Row],[TB]]+표1[[#This Row],[BB]]+표1[[#This Row],[HBP]]+표1[[#This Row],[SB]]-표1[[#This Row],[CS]])/(표1[[#This Row],[AB]]-표1[[#This Row],[H]]+표1[[#This Row],[CS]]+표1[[#This Row],[GDP]])</f>
        <v>0.79729729729729726</v>
      </c>
      <c r="AJ14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69.630795698924729</v>
      </c>
      <c r="AK141">
        <f>표1[[#This Row],[RC]]/((표1[[#This Row],[AB]]-표1[[#This Row],[H]]+표1[[#This Row],[SAC]]+표1[[#This Row],[SF]]+표1[[#This Row],[CS]]+표1[[#This Row],[GDP]])/27)</f>
        <v>6.2252698141422771</v>
      </c>
      <c r="AL14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0.35866666666666669</v>
      </c>
      <c r="AM14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67.016000000000005</v>
      </c>
    </row>
    <row r="142" spans="1:39" x14ac:dyDescent="0.3">
      <c r="A142" t="str">
        <f>_xlfn.CONCAT(표1[[#This Row],[Year]],표1[[#This Row],[Player]])</f>
        <v>2005안경현</v>
      </c>
      <c r="B142">
        <v>2005</v>
      </c>
      <c r="C142">
        <v>13</v>
      </c>
      <c r="D142" t="s">
        <v>4</v>
      </c>
      <c r="E142" t="s">
        <v>1</v>
      </c>
      <c r="F142">
        <v>0.29299999999999998</v>
      </c>
      <c r="G142">
        <v>105</v>
      </c>
      <c r="H142">
        <v>415</v>
      </c>
      <c r="I142">
        <v>355</v>
      </c>
      <c r="J142">
        <v>54</v>
      </c>
      <c r="K142">
        <v>104</v>
      </c>
      <c r="L142">
        <f>표1[[#This Row],[H]]-표1[[#This Row],[2B]]-표1[[#This Row],[3B]]-표1[[#This Row],[HR]]</f>
        <v>81</v>
      </c>
      <c r="M142">
        <v>19</v>
      </c>
      <c r="N142">
        <v>0</v>
      </c>
      <c r="O142">
        <v>4</v>
      </c>
      <c r="P142">
        <v>135</v>
      </c>
      <c r="Q142">
        <v>62</v>
      </c>
      <c r="R142">
        <v>4</v>
      </c>
      <c r="S142">
        <v>3</v>
      </c>
      <c r="T142">
        <v>44</v>
      </c>
      <c r="U142">
        <v>1</v>
      </c>
      <c r="V142">
        <v>1</v>
      </c>
      <c r="W142">
        <v>2</v>
      </c>
      <c r="X142">
        <v>9</v>
      </c>
      <c r="Y142">
        <v>39</v>
      </c>
      <c r="Z142">
        <v>10</v>
      </c>
      <c r="AA142">
        <v>0.38</v>
      </c>
      <c r="AB142">
        <v>0.38200000000000001</v>
      </c>
      <c r="AC142">
        <v>0.76200000000000001</v>
      </c>
      <c r="AD142">
        <v>25</v>
      </c>
      <c r="AE142">
        <v>0.34599999999999997</v>
      </c>
      <c r="AF142">
        <v>0</v>
      </c>
      <c r="AG142">
        <f>(표1[[#This Row],[TB]]-표1[[#This Row],[H]])/표1[[#This Row],[AB]]</f>
        <v>8.7323943661971826E-2</v>
      </c>
      <c r="AH142">
        <f>(표1[[#This Row],[TB]]-표1[[#This Row],[H]]+표1[[#This Row],[BB]]+표1[[#This Row],[SB]]-표1[[#This Row],[CS]])/표1[[#This Row],[AB]]</f>
        <v>0.20845070422535211</v>
      </c>
      <c r="AI142">
        <f>(표1[[#This Row],[TB]]+표1[[#This Row],[BB]]+표1[[#This Row],[HBP]]+표1[[#This Row],[SB]]-표1[[#This Row],[CS]])/(표1[[#This Row],[AB]]-표1[[#This Row],[H]]+표1[[#This Row],[CS]]+표1[[#This Row],[GDP]])</f>
        <v>0.71102661596958172</v>
      </c>
      <c r="AJ14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53.346024096385548</v>
      </c>
      <c r="AK142">
        <f>표1[[#This Row],[RC]]/((표1[[#This Row],[AB]]-표1[[#This Row],[H]]+표1[[#This Row],[SAC]]+표1[[#This Row],[SF]]+표1[[#This Row],[CS]]+표1[[#This Row],[GDP]])/27)</f>
        <v>5.3346024096385545</v>
      </c>
      <c r="AL14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0.34129268292682929</v>
      </c>
      <c r="AM14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52.077999999999982</v>
      </c>
    </row>
    <row r="143" spans="1:39" x14ac:dyDescent="0.3">
      <c r="A143" t="str">
        <f>_xlfn.CONCAT(표1[[#This Row],[Year]],표1[[#This Row],[Player]])</f>
        <v>2005서튼</v>
      </c>
      <c r="B143">
        <v>2005</v>
      </c>
      <c r="C143">
        <v>14</v>
      </c>
      <c r="D143" t="s">
        <v>68</v>
      </c>
      <c r="E143" t="s">
        <v>3</v>
      </c>
      <c r="F143">
        <v>0.29199999999999998</v>
      </c>
      <c r="G143">
        <v>119</v>
      </c>
      <c r="H143">
        <v>521</v>
      </c>
      <c r="I143">
        <v>424</v>
      </c>
      <c r="J143">
        <v>76</v>
      </c>
      <c r="K143">
        <v>124</v>
      </c>
      <c r="L143">
        <f>표1[[#This Row],[H]]-표1[[#This Row],[2B]]-표1[[#This Row],[3B]]-표1[[#This Row],[HR]]</f>
        <v>69</v>
      </c>
      <c r="M143">
        <v>18</v>
      </c>
      <c r="N143">
        <v>2</v>
      </c>
      <c r="O143">
        <v>35</v>
      </c>
      <c r="P143">
        <v>251</v>
      </c>
      <c r="Q143">
        <v>102</v>
      </c>
      <c r="R143">
        <v>0</v>
      </c>
      <c r="S143">
        <v>7</v>
      </c>
      <c r="T143">
        <v>86</v>
      </c>
      <c r="U143">
        <v>8</v>
      </c>
      <c r="V143">
        <v>0</v>
      </c>
      <c r="W143">
        <v>2</v>
      </c>
      <c r="X143">
        <v>4</v>
      </c>
      <c r="Y143">
        <v>101</v>
      </c>
      <c r="Z143">
        <v>3</v>
      </c>
      <c r="AA143">
        <v>0.59199999999999997</v>
      </c>
      <c r="AB143">
        <v>0.41099999999999998</v>
      </c>
      <c r="AC143">
        <v>1.0029999999999999</v>
      </c>
      <c r="AD143">
        <v>33</v>
      </c>
      <c r="AE143">
        <v>0.29799999999999999</v>
      </c>
      <c r="AF143">
        <v>1</v>
      </c>
      <c r="AG143">
        <f>(표1[[#This Row],[TB]]-표1[[#This Row],[H]])/표1[[#This Row],[AB]]</f>
        <v>0.29952830188679247</v>
      </c>
      <c r="AH143">
        <f>(표1[[#This Row],[TB]]-표1[[#This Row],[H]]+표1[[#This Row],[BB]]+표1[[#This Row],[SB]]-표1[[#This Row],[CS]])/표1[[#This Row],[AB]]</f>
        <v>0.49764150943396224</v>
      </c>
      <c r="AI143">
        <f>(표1[[#This Row],[TB]]+표1[[#This Row],[BB]]+표1[[#This Row],[HBP]]+표1[[#This Row],[SB]]-표1[[#This Row],[CS]])/(표1[[#This Row],[AB]]-표1[[#This Row],[H]]+표1[[#This Row],[CS]]+표1[[#This Row],[GDP]])</f>
        <v>1.1114754098360655</v>
      </c>
      <c r="AJ14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110.70180422264873</v>
      </c>
      <c r="AK143">
        <f>표1[[#This Row],[RC]]/((표1[[#This Row],[AB]]-표1[[#This Row],[H]]+표1[[#This Row],[SAC]]+표1[[#This Row],[SF]]+표1[[#This Row],[CS]]+표1[[#This Row],[GDP]])/27)</f>
        <v>9.5799638269599861</v>
      </c>
      <c r="AL14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0.42031968810916176</v>
      </c>
      <c r="AM14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102.85200000000002</v>
      </c>
    </row>
    <row r="144" spans="1:39" x14ac:dyDescent="0.3">
      <c r="A144" t="str">
        <f>_xlfn.CONCAT(표1[[#This Row],[Year]],표1[[#This Row],[Player]])</f>
        <v>2005이진영</v>
      </c>
      <c r="B144">
        <v>2005</v>
      </c>
      <c r="C144">
        <v>15</v>
      </c>
      <c r="D144" t="s">
        <v>7</v>
      </c>
      <c r="E144" t="s">
        <v>8</v>
      </c>
      <c r="F144">
        <v>0.29099999999999998</v>
      </c>
      <c r="G144">
        <v>122</v>
      </c>
      <c r="H144">
        <v>523</v>
      </c>
      <c r="I144">
        <v>453</v>
      </c>
      <c r="J144">
        <v>76</v>
      </c>
      <c r="K144">
        <v>132</v>
      </c>
      <c r="L144">
        <f>표1[[#This Row],[H]]-표1[[#This Row],[2B]]-표1[[#This Row],[3B]]-표1[[#This Row],[HR]]</f>
        <v>92</v>
      </c>
      <c r="M144">
        <v>19</v>
      </c>
      <c r="N144">
        <v>1</v>
      </c>
      <c r="O144">
        <v>20</v>
      </c>
      <c r="P144">
        <v>213</v>
      </c>
      <c r="Q144">
        <v>74</v>
      </c>
      <c r="R144">
        <v>8</v>
      </c>
      <c r="S144">
        <v>4</v>
      </c>
      <c r="T144">
        <v>55</v>
      </c>
      <c r="U144">
        <v>3</v>
      </c>
      <c r="V144">
        <v>8</v>
      </c>
      <c r="W144">
        <v>5</v>
      </c>
      <c r="X144">
        <v>3</v>
      </c>
      <c r="Y144">
        <v>60</v>
      </c>
      <c r="Z144">
        <v>7</v>
      </c>
      <c r="AA144">
        <v>0.47</v>
      </c>
      <c r="AB144">
        <v>0.36899999999999999</v>
      </c>
      <c r="AC144">
        <v>0.83899999999999997</v>
      </c>
      <c r="AD144">
        <v>40</v>
      </c>
      <c r="AE144">
        <v>0.23799999999999999</v>
      </c>
      <c r="AF144">
        <v>0</v>
      </c>
      <c r="AG144">
        <f>(표1[[#This Row],[TB]]-표1[[#This Row],[H]])/표1[[#This Row],[AB]]</f>
        <v>0.17880794701986755</v>
      </c>
      <c r="AH144">
        <f>(표1[[#This Row],[TB]]-표1[[#This Row],[H]]+표1[[#This Row],[BB]]+표1[[#This Row],[SB]]-표1[[#This Row],[CS]])/표1[[#This Row],[AB]]</f>
        <v>0.30684326710816778</v>
      </c>
      <c r="AI144">
        <f>(표1[[#This Row],[TB]]+표1[[#This Row],[BB]]+표1[[#This Row],[HBP]]+표1[[#This Row],[SB]]-표1[[#This Row],[CS]])/(표1[[#This Row],[AB]]-표1[[#This Row],[H]]+표1[[#This Row],[CS]]+표1[[#This Row],[GDP]])</f>
        <v>0.82282282282282282</v>
      </c>
      <c r="AJ14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80.899808795411104</v>
      </c>
      <c r="AK144">
        <f>표1[[#This Row],[RC]]/((표1[[#This Row],[AB]]-표1[[#This Row],[H]]+표1[[#This Row],[SAC]]+표1[[#This Row],[SF]]+표1[[#This Row],[CS]]+표1[[#This Row],[GDP]])/27)</f>
        <v>6.331289383988695</v>
      </c>
      <c r="AL14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0.36340234374999997</v>
      </c>
      <c r="AM14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78.650000000000006</v>
      </c>
    </row>
    <row r="145" spans="1:39" x14ac:dyDescent="0.3">
      <c r="A145" t="str">
        <f>_xlfn.CONCAT(표1[[#This Row],[Year]],표1[[#This Row],[Player]])</f>
        <v>2005진갑용</v>
      </c>
      <c r="B145">
        <v>2005</v>
      </c>
      <c r="C145">
        <v>16</v>
      </c>
      <c r="D145" t="s">
        <v>26</v>
      </c>
      <c r="E145" t="s">
        <v>6</v>
      </c>
      <c r="F145">
        <v>0.28799999999999998</v>
      </c>
      <c r="G145">
        <v>110</v>
      </c>
      <c r="H145">
        <v>406</v>
      </c>
      <c r="I145">
        <v>347</v>
      </c>
      <c r="J145">
        <v>34</v>
      </c>
      <c r="K145">
        <v>100</v>
      </c>
      <c r="L145">
        <f>표1[[#This Row],[H]]-표1[[#This Row],[2B]]-표1[[#This Row],[3B]]-표1[[#This Row],[HR]]</f>
        <v>77</v>
      </c>
      <c r="M145">
        <v>17</v>
      </c>
      <c r="N145">
        <v>0</v>
      </c>
      <c r="O145">
        <v>6</v>
      </c>
      <c r="P145">
        <v>135</v>
      </c>
      <c r="Q145">
        <v>41</v>
      </c>
      <c r="R145">
        <v>11</v>
      </c>
      <c r="S145">
        <v>4</v>
      </c>
      <c r="T145">
        <v>36</v>
      </c>
      <c r="U145">
        <v>1</v>
      </c>
      <c r="V145">
        <v>1</v>
      </c>
      <c r="W145">
        <v>1</v>
      </c>
      <c r="X145">
        <v>8</v>
      </c>
      <c r="Y145">
        <v>47</v>
      </c>
      <c r="Z145">
        <v>8</v>
      </c>
      <c r="AA145">
        <v>0.38900000000000001</v>
      </c>
      <c r="AB145">
        <v>0.36499999999999999</v>
      </c>
      <c r="AC145">
        <v>0.754</v>
      </c>
      <c r="AD145">
        <v>26</v>
      </c>
      <c r="AE145">
        <v>0.245</v>
      </c>
      <c r="AF145">
        <v>0</v>
      </c>
      <c r="AG145">
        <f>(표1[[#This Row],[TB]]-표1[[#This Row],[H]])/표1[[#This Row],[AB]]</f>
        <v>0.10086455331412104</v>
      </c>
      <c r="AH145">
        <f>(표1[[#This Row],[TB]]-표1[[#This Row],[H]]+표1[[#This Row],[BB]]+표1[[#This Row],[SB]]-표1[[#This Row],[CS]])/표1[[#This Row],[AB]]</f>
        <v>0.20461095100864554</v>
      </c>
      <c r="AI145">
        <f>(표1[[#This Row],[TB]]+표1[[#This Row],[BB]]+표1[[#This Row],[HBP]]+표1[[#This Row],[SB]]-표1[[#This Row],[CS]])/(표1[[#This Row],[AB]]-표1[[#This Row],[H]]+표1[[#This Row],[CS]]+표1[[#This Row],[GDP]])</f>
        <v>0.69921875</v>
      </c>
      <c r="AJ14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51.373152709359609</v>
      </c>
      <c r="AK145">
        <f>표1[[#This Row],[RC]]/((표1[[#This Row],[AB]]-표1[[#This Row],[H]]+표1[[#This Row],[SAC]]+표1[[#This Row],[SF]]+표1[[#This Row],[CS]]+표1[[#This Row],[GDP]])/27)</f>
        <v>5.118358388017378</v>
      </c>
      <c r="AL14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0.33438071065989844</v>
      </c>
      <c r="AM14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50.463999999999999</v>
      </c>
    </row>
    <row r="146" spans="1:39" x14ac:dyDescent="0.3">
      <c r="A146" t="str">
        <f>_xlfn.CONCAT(표1[[#This Row],[Year]],표1[[#This Row],[Player]])</f>
        <v>2005정수근</v>
      </c>
      <c r="B146">
        <v>2005</v>
      </c>
      <c r="C146">
        <v>17</v>
      </c>
      <c r="D146" t="s">
        <v>69</v>
      </c>
      <c r="E146" t="s">
        <v>17</v>
      </c>
      <c r="F146">
        <v>0.28599999999999998</v>
      </c>
      <c r="G146">
        <v>109</v>
      </c>
      <c r="H146">
        <v>431</v>
      </c>
      <c r="I146">
        <v>370</v>
      </c>
      <c r="J146">
        <v>63</v>
      </c>
      <c r="K146">
        <v>106</v>
      </c>
      <c r="L146">
        <f>표1[[#This Row],[H]]-표1[[#This Row],[2B]]-표1[[#This Row],[3B]]-표1[[#This Row],[HR]]</f>
        <v>83</v>
      </c>
      <c r="M146">
        <v>21</v>
      </c>
      <c r="N146">
        <v>2</v>
      </c>
      <c r="O146">
        <v>0</v>
      </c>
      <c r="P146">
        <v>131</v>
      </c>
      <c r="Q146">
        <v>29</v>
      </c>
      <c r="R146">
        <v>6</v>
      </c>
      <c r="S146">
        <v>2</v>
      </c>
      <c r="T146">
        <v>49</v>
      </c>
      <c r="U146">
        <v>1</v>
      </c>
      <c r="V146">
        <v>21</v>
      </c>
      <c r="W146">
        <v>15</v>
      </c>
      <c r="X146">
        <v>4</v>
      </c>
      <c r="Y146">
        <v>53</v>
      </c>
      <c r="Z146">
        <v>3</v>
      </c>
      <c r="AA146">
        <v>0.35399999999999998</v>
      </c>
      <c r="AB146">
        <v>0.374</v>
      </c>
      <c r="AC146">
        <v>0.72799999999999998</v>
      </c>
      <c r="AD146">
        <v>31</v>
      </c>
      <c r="AE146">
        <v>0.313</v>
      </c>
      <c r="AF146">
        <v>0.33300000000000002</v>
      </c>
      <c r="AG146">
        <f>(표1[[#This Row],[TB]]-표1[[#This Row],[H]])/표1[[#This Row],[AB]]</f>
        <v>6.7567567567567571E-2</v>
      </c>
      <c r="AH146">
        <f>(표1[[#This Row],[TB]]-표1[[#This Row],[H]]+표1[[#This Row],[BB]]+표1[[#This Row],[SB]]-표1[[#This Row],[CS]])/표1[[#This Row],[AB]]</f>
        <v>0.21621621621621623</v>
      </c>
      <c r="AI146">
        <f>(표1[[#This Row],[TB]]+표1[[#This Row],[BB]]+표1[[#This Row],[HBP]]+표1[[#This Row],[SB]]-표1[[#This Row],[CS]])/(표1[[#This Row],[AB]]-표1[[#This Row],[H]]+표1[[#This Row],[CS]]+표1[[#This Row],[GDP]])</f>
        <v>0.67375886524822692</v>
      </c>
      <c r="AJ14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52.212529002320188</v>
      </c>
      <c r="AK146">
        <f>표1[[#This Row],[RC]]/((표1[[#This Row],[AB]]-표1[[#This Row],[H]]+표1[[#This Row],[SAC]]+표1[[#This Row],[SF]]+표1[[#This Row],[CS]]+표1[[#This Row],[GDP]])/27)</f>
        <v>4.861166493319466</v>
      </c>
      <c r="AL14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0.32785613207547171</v>
      </c>
      <c r="AM14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51.296000000000006</v>
      </c>
    </row>
    <row r="147" spans="1:39" x14ac:dyDescent="0.3">
      <c r="A147" t="str">
        <f>_xlfn.CONCAT(표1[[#This Row],[Year]],표1[[#This Row],[Player]])</f>
        <v>2005장원진</v>
      </c>
      <c r="B147">
        <v>2005</v>
      </c>
      <c r="C147">
        <v>18</v>
      </c>
      <c r="D147" t="s">
        <v>25</v>
      </c>
      <c r="E147" t="s">
        <v>1</v>
      </c>
      <c r="F147">
        <v>0.28599999999999998</v>
      </c>
      <c r="G147">
        <v>123</v>
      </c>
      <c r="H147">
        <v>478</v>
      </c>
      <c r="I147">
        <v>423</v>
      </c>
      <c r="J147">
        <v>58</v>
      </c>
      <c r="K147">
        <v>121</v>
      </c>
      <c r="L147">
        <f>표1[[#This Row],[H]]-표1[[#This Row],[2B]]-표1[[#This Row],[3B]]-표1[[#This Row],[HR]]</f>
        <v>102</v>
      </c>
      <c r="M147">
        <v>16</v>
      </c>
      <c r="N147">
        <v>0</v>
      </c>
      <c r="O147">
        <v>3</v>
      </c>
      <c r="P147">
        <v>146</v>
      </c>
      <c r="Q147">
        <v>42</v>
      </c>
      <c r="R147">
        <v>2</v>
      </c>
      <c r="S147">
        <v>2</v>
      </c>
      <c r="T147">
        <v>42</v>
      </c>
      <c r="U147">
        <v>1</v>
      </c>
      <c r="V147">
        <v>4</v>
      </c>
      <c r="W147">
        <v>4</v>
      </c>
      <c r="X147">
        <v>9</v>
      </c>
      <c r="Y147">
        <v>53</v>
      </c>
      <c r="Z147">
        <v>5</v>
      </c>
      <c r="AA147">
        <v>0.34499999999999997</v>
      </c>
      <c r="AB147">
        <v>0.36099999999999999</v>
      </c>
      <c r="AC147">
        <v>0.70599999999999996</v>
      </c>
      <c r="AD147">
        <v>32</v>
      </c>
      <c r="AE147">
        <v>0.27900000000000003</v>
      </c>
      <c r="AF147">
        <v>0</v>
      </c>
      <c r="AG147">
        <f>(표1[[#This Row],[TB]]-표1[[#This Row],[H]])/표1[[#This Row],[AB]]</f>
        <v>5.9101654846335699E-2</v>
      </c>
      <c r="AH147">
        <f>(표1[[#This Row],[TB]]-표1[[#This Row],[H]]+표1[[#This Row],[BB]]+표1[[#This Row],[SB]]-표1[[#This Row],[CS]])/표1[[#This Row],[AB]]</f>
        <v>0.15839243498817968</v>
      </c>
      <c r="AI147">
        <f>(표1[[#This Row],[TB]]+표1[[#This Row],[BB]]+표1[[#This Row],[HBP]]+표1[[#This Row],[SB]]-표1[[#This Row],[CS]])/(표1[[#This Row],[AB]]-표1[[#This Row],[H]]+표1[[#This Row],[CS]]+표1[[#This Row],[GDP]])</f>
        <v>0.63344051446945338</v>
      </c>
      <c r="AJ14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55.638242677824266</v>
      </c>
      <c r="AK147">
        <f>표1[[#This Row],[RC]]/((표1[[#This Row],[AB]]-표1[[#This Row],[H]]+표1[[#This Row],[SAC]]+표1[[#This Row],[SF]]+표1[[#This Row],[CS]]+표1[[#This Row],[GDP]])/27)</f>
        <v>4.7689922295277949</v>
      </c>
      <c r="AL14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0.3184905263157895</v>
      </c>
      <c r="AM14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54.896000000000001</v>
      </c>
    </row>
    <row r="148" spans="1:39" x14ac:dyDescent="0.3">
      <c r="A148" t="str">
        <f>_xlfn.CONCAT(표1[[#This Row],[Year]],표1[[#This Row],[Player]])</f>
        <v>2005정경배</v>
      </c>
      <c r="B148">
        <v>2005</v>
      </c>
      <c r="C148">
        <v>19</v>
      </c>
      <c r="D148" t="s">
        <v>37</v>
      </c>
      <c r="E148" t="s">
        <v>8</v>
      </c>
      <c r="F148">
        <v>0.28599999999999998</v>
      </c>
      <c r="G148">
        <v>126</v>
      </c>
      <c r="H148">
        <v>502</v>
      </c>
      <c r="I148">
        <v>427</v>
      </c>
      <c r="J148">
        <v>49</v>
      </c>
      <c r="K148">
        <v>122</v>
      </c>
      <c r="L148">
        <f>표1[[#This Row],[H]]-표1[[#This Row],[2B]]-표1[[#This Row],[3B]]-표1[[#This Row],[HR]]</f>
        <v>94</v>
      </c>
      <c r="M148">
        <v>16</v>
      </c>
      <c r="N148">
        <v>1</v>
      </c>
      <c r="O148">
        <v>11</v>
      </c>
      <c r="P148">
        <v>173</v>
      </c>
      <c r="Q148">
        <v>63</v>
      </c>
      <c r="R148">
        <v>14</v>
      </c>
      <c r="S148">
        <v>7</v>
      </c>
      <c r="T148">
        <v>44</v>
      </c>
      <c r="U148">
        <v>1</v>
      </c>
      <c r="V148">
        <v>7</v>
      </c>
      <c r="W148">
        <v>8</v>
      </c>
      <c r="X148">
        <v>10</v>
      </c>
      <c r="Y148">
        <v>75</v>
      </c>
      <c r="Z148">
        <v>7</v>
      </c>
      <c r="AA148">
        <v>0.40500000000000003</v>
      </c>
      <c r="AB148">
        <v>0.36099999999999999</v>
      </c>
      <c r="AC148">
        <v>0.76600000000000001</v>
      </c>
      <c r="AD148">
        <v>30</v>
      </c>
      <c r="AE148">
        <v>0.28899999999999998</v>
      </c>
      <c r="AF148">
        <v>1</v>
      </c>
      <c r="AG148">
        <f>(표1[[#This Row],[TB]]-표1[[#This Row],[H]])/표1[[#This Row],[AB]]</f>
        <v>0.11943793911007025</v>
      </c>
      <c r="AH148">
        <f>(표1[[#This Row],[TB]]-표1[[#This Row],[H]]+표1[[#This Row],[BB]]+표1[[#This Row],[SB]]-표1[[#This Row],[CS]])/표1[[#This Row],[AB]]</f>
        <v>0.22014051522248243</v>
      </c>
      <c r="AI148">
        <f>(표1[[#This Row],[TB]]+표1[[#This Row],[BB]]+표1[[#This Row],[HBP]]+표1[[#This Row],[SB]]-표1[[#This Row],[CS]])/(표1[[#This Row],[AB]]-표1[[#This Row],[H]]+표1[[#This Row],[CS]]+표1[[#This Row],[GDP]])</f>
        <v>0.70625000000000004</v>
      </c>
      <c r="AJ14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64.573187250996014</v>
      </c>
      <c r="AK148">
        <f>표1[[#This Row],[RC]]/((표1[[#This Row],[AB]]-표1[[#This Row],[H]]+표1[[#This Row],[SAC]]+표1[[#This Row],[SF]]+표1[[#This Row],[CS]]+표1[[#This Row],[GDP]])/27)</f>
        <v>5.1128330081433795</v>
      </c>
      <c r="AL14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0.3375195071868583</v>
      </c>
      <c r="AM14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64.88</v>
      </c>
    </row>
    <row r="149" spans="1:39" x14ac:dyDescent="0.3">
      <c r="A149" t="str">
        <f>_xlfn.CONCAT(표1[[#This Row],[Year]],표1[[#This Row],[Player]])</f>
        <v>2005펠로우</v>
      </c>
      <c r="B149">
        <v>2005</v>
      </c>
      <c r="C149">
        <v>20</v>
      </c>
      <c r="D149" t="s">
        <v>70</v>
      </c>
      <c r="E149" t="s">
        <v>17</v>
      </c>
      <c r="F149">
        <v>0.28399999999999997</v>
      </c>
      <c r="G149">
        <v>109</v>
      </c>
      <c r="H149">
        <v>443</v>
      </c>
      <c r="I149">
        <v>398</v>
      </c>
      <c r="J149">
        <v>56</v>
      </c>
      <c r="K149">
        <v>113</v>
      </c>
      <c r="L149">
        <f>표1[[#This Row],[H]]-표1[[#This Row],[2B]]-표1[[#This Row],[3B]]-표1[[#This Row],[HR]]</f>
        <v>74</v>
      </c>
      <c r="M149">
        <v>15</v>
      </c>
      <c r="N149">
        <v>1</v>
      </c>
      <c r="O149">
        <v>23</v>
      </c>
      <c r="P149">
        <v>199</v>
      </c>
      <c r="Q149">
        <v>69</v>
      </c>
      <c r="R149">
        <v>0</v>
      </c>
      <c r="S149">
        <v>4</v>
      </c>
      <c r="T149">
        <v>30</v>
      </c>
      <c r="U149">
        <v>2</v>
      </c>
      <c r="V149">
        <v>3</v>
      </c>
      <c r="W149">
        <v>4</v>
      </c>
      <c r="X149">
        <v>11</v>
      </c>
      <c r="Y149">
        <v>84</v>
      </c>
      <c r="Z149">
        <v>6</v>
      </c>
      <c r="AA149">
        <v>0.5</v>
      </c>
      <c r="AB149">
        <v>0.34799999999999998</v>
      </c>
      <c r="AC149">
        <v>0.84799999999999998</v>
      </c>
      <c r="AD149">
        <v>32</v>
      </c>
      <c r="AE149">
        <v>0.28799999999999998</v>
      </c>
      <c r="AF149">
        <v>0</v>
      </c>
      <c r="AG149">
        <f>(표1[[#This Row],[TB]]-표1[[#This Row],[H]])/표1[[#This Row],[AB]]</f>
        <v>0.21608040201005024</v>
      </c>
      <c r="AH149">
        <f>(표1[[#This Row],[TB]]-표1[[#This Row],[H]]+표1[[#This Row],[BB]]+표1[[#This Row],[SB]]-표1[[#This Row],[CS]])/표1[[#This Row],[AB]]</f>
        <v>0.28894472361809043</v>
      </c>
      <c r="AI149">
        <f>(표1[[#This Row],[TB]]+표1[[#This Row],[BB]]+표1[[#This Row],[HBP]]+표1[[#This Row],[SB]]-표1[[#This Row],[CS]])/(표1[[#This Row],[AB]]-표1[[#This Row],[H]]+표1[[#This Row],[CS]]+표1[[#This Row],[GDP]])</f>
        <v>0.81016949152542372</v>
      </c>
      <c r="AJ14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69.165507900677198</v>
      </c>
      <c r="AK149">
        <f>표1[[#This Row],[RC]]/((표1[[#This Row],[AB]]-표1[[#This Row],[H]]+표1[[#This Row],[SAC]]+표1[[#This Row],[SF]]+표1[[#This Row],[CS]]+표1[[#This Row],[GDP]])/27)</f>
        <v>6.2457147602618202</v>
      </c>
      <c r="AL14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0.36391836734693872</v>
      </c>
      <c r="AM14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67.918000000000006</v>
      </c>
    </row>
    <row r="150" spans="1:39" x14ac:dyDescent="0.3">
      <c r="A150" t="str">
        <f>_xlfn.CONCAT(표1[[#This Row],[Year]],표1[[#This Row],[Player]])</f>
        <v>2005박용택</v>
      </c>
      <c r="B150">
        <v>2005</v>
      </c>
      <c r="C150">
        <v>21</v>
      </c>
      <c r="D150" t="s">
        <v>42</v>
      </c>
      <c r="E150" t="s">
        <v>36</v>
      </c>
      <c r="F150">
        <v>0.28000000000000003</v>
      </c>
      <c r="G150">
        <v>126</v>
      </c>
      <c r="H150">
        <v>523</v>
      </c>
      <c r="I150">
        <v>472</v>
      </c>
      <c r="J150">
        <v>90</v>
      </c>
      <c r="K150">
        <v>132</v>
      </c>
      <c r="L150">
        <f>표1[[#This Row],[H]]-표1[[#This Row],[2B]]-표1[[#This Row],[3B]]-표1[[#This Row],[HR]]</f>
        <v>91</v>
      </c>
      <c r="M150">
        <v>25</v>
      </c>
      <c r="N150">
        <v>1</v>
      </c>
      <c r="O150">
        <v>15</v>
      </c>
      <c r="P150">
        <v>204</v>
      </c>
      <c r="Q150">
        <v>71</v>
      </c>
      <c r="R150">
        <v>0</v>
      </c>
      <c r="S150">
        <v>3</v>
      </c>
      <c r="T150">
        <v>43</v>
      </c>
      <c r="U150">
        <v>3</v>
      </c>
      <c r="V150">
        <v>43</v>
      </c>
      <c r="W150">
        <v>7</v>
      </c>
      <c r="X150">
        <v>5</v>
      </c>
      <c r="Y150">
        <v>98</v>
      </c>
      <c r="Z150">
        <v>9</v>
      </c>
      <c r="AA150">
        <v>0.432</v>
      </c>
      <c r="AB150">
        <v>0.34399999999999997</v>
      </c>
      <c r="AC150">
        <v>0.77600000000000002</v>
      </c>
      <c r="AD150">
        <v>35</v>
      </c>
      <c r="AE150">
        <v>0.35299999999999998</v>
      </c>
      <c r="AF150">
        <v>0.33300000000000002</v>
      </c>
      <c r="AG150">
        <f>(표1[[#This Row],[TB]]-표1[[#This Row],[H]])/표1[[#This Row],[AB]]</f>
        <v>0.15254237288135594</v>
      </c>
      <c r="AH150">
        <f>(표1[[#This Row],[TB]]-표1[[#This Row],[H]]+표1[[#This Row],[BB]]+표1[[#This Row],[SB]]-표1[[#This Row],[CS]])/표1[[#This Row],[AB]]</f>
        <v>0.31991525423728812</v>
      </c>
      <c r="AI150">
        <f>(표1[[#This Row],[TB]]+표1[[#This Row],[BB]]+표1[[#This Row],[HBP]]+표1[[#This Row],[SB]]-표1[[#This Row],[CS]])/(표1[[#This Row],[AB]]-표1[[#This Row],[H]]+표1[[#This Row],[CS]]+표1[[#This Row],[GDP]])</f>
        <v>0.8089887640449438</v>
      </c>
      <c r="AJ15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75.138967495219887</v>
      </c>
      <c r="AK150">
        <f>표1[[#This Row],[RC]]/((표1[[#This Row],[AB]]-표1[[#This Row],[H]]+표1[[#This Row],[SAC]]+표1[[#This Row],[SF]]+표1[[#This Row],[CS]]+표1[[#This Row],[GDP]])/27)</f>
        <v>5.6511201180248944</v>
      </c>
      <c r="AL15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0.33765769230769227</v>
      </c>
      <c r="AM15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74.085999999999999</v>
      </c>
    </row>
    <row r="151" spans="1:39" x14ac:dyDescent="0.3">
      <c r="A151" t="str">
        <f>_xlfn.CONCAT(표1[[#This Row],[Year]],표1[[#This Row],[Player]])</f>
        <v>2005김민재</v>
      </c>
      <c r="B151">
        <v>2005</v>
      </c>
      <c r="C151">
        <v>22</v>
      </c>
      <c r="D151" t="s">
        <v>47</v>
      </c>
      <c r="E151" t="s">
        <v>8</v>
      </c>
      <c r="F151">
        <v>0.27700000000000002</v>
      </c>
      <c r="G151">
        <v>125</v>
      </c>
      <c r="H151">
        <v>508</v>
      </c>
      <c r="I151">
        <v>440</v>
      </c>
      <c r="J151">
        <v>58</v>
      </c>
      <c r="K151">
        <v>122</v>
      </c>
      <c r="L151">
        <f>표1[[#This Row],[H]]-표1[[#This Row],[2B]]-표1[[#This Row],[3B]]-표1[[#This Row],[HR]]</f>
        <v>101</v>
      </c>
      <c r="M151">
        <v>19</v>
      </c>
      <c r="N151">
        <v>0</v>
      </c>
      <c r="O151">
        <v>2</v>
      </c>
      <c r="P151">
        <v>147</v>
      </c>
      <c r="Q151">
        <v>37</v>
      </c>
      <c r="R151">
        <v>16</v>
      </c>
      <c r="S151">
        <v>4</v>
      </c>
      <c r="T151">
        <v>39</v>
      </c>
      <c r="U151">
        <v>0</v>
      </c>
      <c r="V151">
        <v>20</v>
      </c>
      <c r="W151">
        <v>5</v>
      </c>
      <c r="X151">
        <v>9</v>
      </c>
      <c r="Y151">
        <v>48</v>
      </c>
      <c r="Z151">
        <v>14</v>
      </c>
      <c r="AA151">
        <v>0.33400000000000002</v>
      </c>
      <c r="AB151">
        <v>0.34599999999999997</v>
      </c>
      <c r="AC151">
        <v>0.68</v>
      </c>
      <c r="AD151">
        <v>31</v>
      </c>
      <c r="AE151">
        <v>0.25600000000000001</v>
      </c>
      <c r="AF151">
        <v>0</v>
      </c>
      <c r="AG151">
        <f>(표1[[#This Row],[TB]]-표1[[#This Row],[H]])/표1[[#This Row],[AB]]</f>
        <v>5.6818181818181816E-2</v>
      </c>
      <c r="AH151">
        <f>(표1[[#This Row],[TB]]-표1[[#This Row],[H]]+표1[[#This Row],[BB]]+표1[[#This Row],[SB]]-표1[[#This Row],[CS]])/표1[[#This Row],[AB]]</f>
        <v>0.17954545454545454</v>
      </c>
      <c r="AI151">
        <f>(표1[[#This Row],[TB]]+표1[[#This Row],[BB]]+표1[[#This Row],[HBP]]+표1[[#This Row],[SB]]-표1[[#This Row],[CS]])/(표1[[#This Row],[AB]]-표1[[#This Row],[H]]+표1[[#This Row],[CS]]+표1[[#This Row],[GDP]])</f>
        <v>0.62314540059347179</v>
      </c>
      <c r="AJ15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53.587165354330708</v>
      </c>
      <c r="AK151">
        <f>표1[[#This Row],[RC]]/((표1[[#This Row],[AB]]-표1[[#This Row],[H]]+표1[[#This Row],[SAC]]+표1[[#This Row],[SF]]+표1[[#This Row],[CS]]+표1[[#This Row],[GDP]])/27)</f>
        <v>4.0528108251174491</v>
      </c>
      <c r="AL15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0.30636178861788621</v>
      </c>
      <c r="AM15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53.316000000000003</v>
      </c>
    </row>
    <row r="152" spans="1:39" x14ac:dyDescent="0.3">
      <c r="A152" t="str">
        <f>_xlfn.CONCAT(표1[[#This Row],[Year]],표1[[#This Row],[Player]])</f>
        <v>2005손시헌</v>
      </c>
      <c r="B152">
        <v>2005</v>
      </c>
      <c r="C152">
        <v>23</v>
      </c>
      <c r="D152" t="s">
        <v>71</v>
      </c>
      <c r="E152" t="s">
        <v>1</v>
      </c>
      <c r="F152">
        <v>0.27600000000000002</v>
      </c>
      <c r="G152">
        <v>126</v>
      </c>
      <c r="H152">
        <v>480</v>
      </c>
      <c r="I152">
        <v>416</v>
      </c>
      <c r="J152">
        <v>59</v>
      </c>
      <c r="K152">
        <v>115</v>
      </c>
      <c r="L152">
        <f>표1[[#This Row],[H]]-표1[[#This Row],[2B]]-표1[[#This Row],[3B]]-표1[[#This Row],[HR]]</f>
        <v>88</v>
      </c>
      <c r="M152">
        <v>18</v>
      </c>
      <c r="N152">
        <v>5</v>
      </c>
      <c r="O152">
        <v>4</v>
      </c>
      <c r="P152">
        <v>155</v>
      </c>
      <c r="Q152">
        <v>60</v>
      </c>
      <c r="R152">
        <v>6</v>
      </c>
      <c r="S152">
        <v>6</v>
      </c>
      <c r="T152">
        <v>48</v>
      </c>
      <c r="U152">
        <v>0</v>
      </c>
      <c r="V152">
        <v>2</v>
      </c>
      <c r="W152">
        <v>5</v>
      </c>
      <c r="X152">
        <v>4</v>
      </c>
      <c r="Y152">
        <v>59</v>
      </c>
      <c r="Z152">
        <v>7</v>
      </c>
      <c r="AA152">
        <v>0.373</v>
      </c>
      <c r="AB152">
        <v>0.35199999999999998</v>
      </c>
      <c r="AC152">
        <v>0.72499999999999998</v>
      </c>
      <c r="AD152">
        <v>27</v>
      </c>
      <c r="AE152">
        <v>0.29899999999999999</v>
      </c>
      <c r="AF152">
        <v>0</v>
      </c>
      <c r="AG152">
        <f>(표1[[#This Row],[TB]]-표1[[#This Row],[H]])/표1[[#This Row],[AB]]</f>
        <v>9.6153846153846159E-2</v>
      </c>
      <c r="AH152">
        <f>(표1[[#This Row],[TB]]-표1[[#This Row],[H]]+표1[[#This Row],[BB]]+표1[[#This Row],[SB]]-표1[[#This Row],[CS]])/표1[[#This Row],[AB]]</f>
        <v>0.20432692307692307</v>
      </c>
      <c r="AI152">
        <f>(표1[[#This Row],[TB]]+표1[[#This Row],[BB]]+표1[[#This Row],[HBP]]+표1[[#This Row],[SB]]-표1[[#This Row],[CS]])/(표1[[#This Row],[AB]]-표1[[#This Row],[H]]+표1[[#This Row],[CS]]+표1[[#This Row],[GDP]])</f>
        <v>0.65175718849840258</v>
      </c>
      <c r="AJ15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56.768749999999997</v>
      </c>
      <c r="AK152">
        <f>표1[[#This Row],[RC]]/((표1[[#This Row],[AB]]-표1[[#This Row],[H]]+표1[[#This Row],[SAC]]+표1[[#This Row],[SF]]+표1[[#This Row],[CS]]+표1[[#This Row],[GDP]])/27)</f>
        <v>4.7161730769230772</v>
      </c>
      <c r="AL15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0.32209071729957806</v>
      </c>
      <c r="AM15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56.667999999999999</v>
      </c>
    </row>
    <row r="153" spans="1:39" x14ac:dyDescent="0.3">
      <c r="A153" t="str">
        <f>_xlfn.CONCAT(표1[[#This Row],[Year]],표1[[#This Row],[Player]])</f>
        <v>2005심정수</v>
      </c>
      <c r="B153">
        <v>2005</v>
      </c>
      <c r="C153">
        <v>24</v>
      </c>
      <c r="D153" t="s">
        <v>2</v>
      </c>
      <c r="E153" t="s">
        <v>6</v>
      </c>
      <c r="F153">
        <v>0.27500000000000002</v>
      </c>
      <c r="G153">
        <v>124</v>
      </c>
      <c r="H153">
        <v>528</v>
      </c>
      <c r="I153">
        <v>433</v>
      </c>
      <c r="J153">
        <v>77</v>
      </c>
      <c r="K153">
        <v>119</v>
      </c>
      <c r="L153">
        <f>표1[[#This Row],[H]]-표1[[#This Row],[2B]]-표1[[#This Row],[3B]]-표1[[#This Row],[HR]]</f>
        <v>77</v>
      </c>
      <c r="M153">
        <v>14</v>
      </c>
      <c r="N153">
        <v>0</v>
      </c>
      <c r="O153">
        <v>28</v>
      </c>
      <c r="P153">
        <v>217</v>
      </c>
      <c r="Q153">
        <v>87</v>
      </c>
      <c r="R153">
        <v>0</v>
      </c>
      <c r="S153">
        <v>2</v>
      </c>
      <c r="T153">
        <v>89</v>
      </c>
      <c r="U153">
        <v>4</v>
      </c>
      <c r="V153">
        <v>3</v>
      </c>
      <c r="W153">
        <v>2</v>
      </c>
      <c r="X153">
        <v>4</v>
      </c>
      <c r="Y153">
        <v>116</v>
      </c>
      <c r="Z153">
        <v>12</v>
      </c>
      <c r="AA153">
        <v>0.501</v>
      </c>
      <c r="AB153">
        <v>0.40200000000000002</v>
      </c>
      <c r="AC153">
        <v>0.90300000000000002</v>
      </c>
      <c r="AD153">
        <v>38</v>
      </c>
      <c r="AE153">
        <v>0.26300000000000001</v>
      </c>
      <c r="AF153">
        <v>1</v>
      </c>
      <c r="AG153">
        <f>(표1[[#This Row],[TB]]-표1[[#This Row],[H]])/표1[[#This Row],[AB]]</f>
        <v>0.22632794457274827</v>
      </c>
      <c r="AH153">
        <f>(표1[[#This Row],[TB]]-표1[[#This Row],[H]]+표1[[#This Row],[BB]]+표1[[#This Row],[SB]]-표1[[#This Row],[CS]])/표1[[#This Row],[AB]]</f>
        <v>0.43418013856812931</v>
      </c>
      <c r="AI153">
        <f>(표1[[#This Row],[TB]]+표1[[#This Row],[BB]]+표1[[#This Row],[HBP]]+표1[[#This Row],[SB]]-표1[[#This Row],[CS]])/(표1[[#This Row],[AB]]-표1[[#This Row],[H]]+표1[[#This Row],[CS]]+표1[[#This Row],[GDP]])</f>
        <v>0.94817073170731703</v>
      </c>
      <c r="AJ15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91.027499999999989</v>
      </c>
      <c r="AK153">
        <f>표1[[#This Row],[RC]]/((표1[[#This Row],[AB]]-표1[[#This Row],[H]]+표1[[#This Row],[SAC]]+표1[[#This Row],[SF]]+표1[[#This Row],[CS]]+표1[[#This Row],[GDP]])/27)</f>
        <v>7.4477045454545454</v>
      </c>
      <c r="AL15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0.39105534351145033</v>
      </c>
      <c r="AM15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87.172000000000025</v>
      </c>
    </row>
    <row r="154" spans="1:39" x14ac:dyDescent="0.3">
      <c r="A154" t="str">
        <f>_xlfn.CONCAT(표1[[#This Row],[Year]],표1[[#This Row],[Player]])</f>
        <v>2005조동찬</v>
      </c>
      <c r="B154">
        <v>2005</v>
      </c>
      <c r="C154">
        <v>25</v>
      </c>
      <c r="D154" t="s">
        <v>72</v>
      </c>
      <c r="E154" t="s">
        <v>6</v>
      </c>
      <c r="F154">
        <v>0.27400000000000002</v>
      </c>
      <c r="G154">
        <v>122</v>
      </c>
      <c r="H154">
        <v>447</v>
      </c>
      <c r="I154">
        <v>387</v>
      </c>
      <c r="J154">
        <v>55</v>
      </c>
      <c r="K154">
        <v>106</v>
      </c>
      <c r="L154">
        <f>표1[[#This Row],[H]]-표1[[#This Row],[2B]]-표1[[#This Row],[3B]]-표1[[#This Row],[HR]]</f>
        <v>74</v>
      </c>
      <c r="M154">
        <v>16</v>
      </c>
      <c r="N154">
        <v>0</v>
      </c>
      <c r="O154">
        <v>16</v>
      </c>
      <c r="P154">
        <v>170</v>
      </c>
      <c r="Q154">
        <v>63</v>
      </c>
      <c r="R154">
        <v>3</v>
      </c>
      <c r="S154">
        <v>3</v>
      </c>
      <c r="T154">
        <v>39</v>
      </c>
      <c r="U154">
        <v>0</v>
      </c>
      <c r="V154">
        <v>17</v>
      </c>
      <c r="W154">
        <v>6</v>
      </c>
      <c r="X154">
        <v>15</v>
      </c>
      <c r="Y154">
        <v>84</v>
      </c>
      <c r="Z154">
        <v>9</v>
      </c>
      <c r="AA154">
        <v>0.439</v>
      </c>
      <c r="AB154">
        <v>0.36</v>
      </c>
      <c r="AC154">
        <v>0.79900000000000004</v>
      </c>
      <c r="AD154">
        <v>26</v>
      </c>
      <c r="AE154">
        <v>0.29299999999999998</v>
      </c>
      <c r="AF154">
        <v>0.5</v>
      </c>
      <c r="AG154">
        <f>(표1[[#This Row],[TB]]-표1[[#This Row],[H]])/표1[[#This Row],[AB]]</f>
        <v>0.16537467700258399</v>
      </c>
      <c r="AH154">
        <f>(표1[[#This Row],[TB]]-표1[[#This Row],[H]]+표1[[#This Row],[BB]]+표1[[#This Row],[SB]]-표1[[#This Row],[CS]])/표1[[#This Row],[AB]]</f>
        <v>0.29457364341085274</v>
      </c>
      <c r="AI154">
        <f>(표1[[#This Row],[TB]]+표1[[#This Row],[BB]]+표1[[#This Row],[HBP]]+표1[[#This Row],[SB]]-표1[[#This Row],[CS]])/(표1[[#This Row],[AB]]-표1[[#This Row],[H]]+표1[[#This Row],[CS]]+표1[[#This Row],[GDP]])</f>
        <v>0.79391891891891897</v>
      </c>
      <c r="AJ15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63.579418344519013</v>
      </c>
      <c r="AK154">
        <f>표1[[#This Row],[RC]]/((표1[[#This Row],[AB]]-표1[[#This Row],[H]]+표1[[#This Row],[SAC]]+표1[[#This Row],[SF]]+표1[[#This Row],[CS]]+표1[[#This Row],[GDP]])/27)</f>
        <v>5.6842526334503756</v>
      </c>
      <c r="AL15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0.35188063063063058</v>
      </c>
      <c r="AM15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62.997999999999998</v>
      </c>
    </row>
    <row r="155" spans="1:39" x14ac:dyDescent="0.3">
      <c r="A155" t="str">
        <f>_xlfn.CONCAT(표1[[#This Row],[Year]],표1[[#This Row],[Player]])</f>
        <v>2005정수성</v>
      </c>
      <c r="B155">
        <v>2005</v>
      </c>
      <c r="C155">
        <v>26</v>
      </c>
      <c r="D155" t="s">
        <v>73</v>
      </c>
      <c r="E155" t="s">
        <v>3</v>
      </c>
      <c r="F155">
        <v>0.27300000000000002</v>
      </c>
      <c r="G155">
        <v>118</v>
      </c>
      <c r="H155">
        <v>429</v>
      </c>
      <c r="I155">
        <v>366</v>
      </c>
      <c r="J155">
        <v>53</v>
      </c>
      <c r="K155">
        <v>100</v>
      </c>
      <c r="L155">
        <f>표1[[#This Row],[H]]-표1[[#This Row],[2B]]-표1[[#This Row],[3B]]-표1[[#This Row],[HR]]</f>
        <v>81</v>
      </c>
      <c r="M155">
        <v>14</v>
      </c>
      <c r="N155">
        <v>5</v>
      </c>
      <c r="O155">
        <v>0</v>
      </c>
      <c r="P155">
        <v>124</v>
      </c>
      <c r="Q155">
        <v>19</v>
      </c>
      <c r="R155">
        <v>19</v>
      </c>
      <c r="S155">
        <v>3</v>
      </c>
      <c r="T155">
        <v>21</v>
      </c>
      <c r="U155">
        <v>0</v>
      </c>
      <c r="V155">
        <v>29</v>
      </c>
      <c r="W155">
        <v>5</v>
      </c>
      <c r="X155">
        <v>20</v>
      </c>
      <c r="Y155">
        <v>76</v>
      </c>
      <c r="Z155">
        <v>9</v>
      </c>
      <c r="AA155">
        <v>0.33900000000000002</v>
      </c>
      <c r="AB155">
        <v>0.34399999999999997</v>
      </c>
      <c r="AC155">
        <v>0.68300000000000005</v>
      </c>
      <c r="AD155">
        <v>30</v>
      </c>
      <c r="AE155">
        <v>0.214</v>
      </c>
      <c r="AF155">
        <v>0</v>
      </c>
      <c r="AG155">
        <f>(표1[[#This Row],[TB]]-표1[[#This Row],[H]])/표1[[#This Row],[AB]]</f>
        <v>6.5573770491803282E-2</v>
      </c>
      <c r="AH155">
        <f>(표1[[#This Row],[TB]]-표1[[#This Row],[H]]+표1[[#This Row],[BB]]+표1[[#This Row],[SB]]-표1[[#This Row],[CS]])/표1[[#This Row],[AB]]</f>
        <v>0.18852459016393441</v>
      </c>
      <c r="AI155">
        <f>(표1[[#This Row],[TB]]+표1[[#This Row],[BB]]+표1[[#This Row],[HBP]]+표1[[#This Row],[SB]]-표1[[#This Row],[CS]])/(표1[[#This Row],[AB]]-표1[[#This Row],[H]]+표1[[#This Row],[CS]]+표1[[#This Row],[GDP]])</f>
        <v>0.67500000000000004</v>
      </c>
      <c r="AJ15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47.715291375291379</v>
      </c>
      <c r="AK155">
        <f>표1[[#This Row],[RC]]/((표1[[#This Row],[AB]]-표1[[#This Row],[H]]+표1[[#This Row],[SAC]]+표1[[#This Row],[SF]]+표1[[#This Row],[CS]]+표1[[#This Row],[GDP]])/27)</f>
        <v>4.2659366461353221</v>
      </c>
      <c r="AL15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0.30760487804878051</v>
      </c>
      <c r="AM15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47.332000000000008</v>
      </c>
    </row>
    <row r="156" spans="1:39" x14ac:dyDescent="0.3">
      <c r="A156" t="str">
        <f>_xlfn.CONCAT(표1[[#This Row],[Year]],표1[[#This Row],[Player]])</f>
        <v>2005이범호</v>
      </c>
      <c r="B156">
        <v>2005</v>
      </c>
      <c r="C156">
        <v>27</v>
      </c>
      <c r="D156" t="s">
        <v>53</v>
      </c>
      <c r="E156" t="s">
        <v>11</v>
      </c>
      <c r="F156">
        <v>0.27300000000000002</v>
      </c>
      <c r="G156">
        <v>126</v>
      </c>
      <c r="H156">
        <v>513</v>
      </c>
      <c r="I156">
        <v>444</v>
      </c>
      <c r="J156">
        <v>69</v>
      </c>
      <c r="K156">
        <v>121</v>
      </c>
      <c r="L156">
        <f>표1[[#This Row],[H]]-표1[[#This Row],[2B]]-표1[[#This Row],[3B]]-표1[[#This Row],[HR]]</f>
        <v>67</v>
      </c>
      <c r="M156">
        <v>27</v>
      </c>
      <c r="N156">
        <v>1</v>
      </c>
      <c r="O156">
        <v>26</v>
      </c>
      <c r="P156">
        <v>228</v>
      </c>
      <c r="Q156">
        <v>68</v>
      </c>
      <c r="R156">
        <v>1</v>
      </c>
      <c r="S156">
        <v>6</v>
      </c>
      <c r="T156">
        <v>53</v>
      </c>
      <c r="U156">
        <v>0</v>
      </c>
      <c r="V156">
        <v>6</v>
      </c>
      <c r="W156">
        <v>2</v>
      </c>
      <c r="X156">
        <v>9</v>
      </c>
      <c r="Y156">
        <v>94</v>
      </c>
      <c r="Z156">
        <v>8</v>
      </c>
      <c r="AA156">
        <v>0.51400000000000001</v>
      </c>
      <c r="AB156">
        <v>0.35699999999999998</v>
      </c>
      <c r="AC156">
        <v>0.871</v>
      </c>
      <c r="AD156">
        <v>34</v>
      </c>
      <c r="AE156">
        <v>0.248</v>
      </c>
      <c r="AF156">
        <v>0</v>
      </c>
      <c r="AG156">
        <f>(표1[[#This Row],[TB]]-표1[[#This Row],[H]])/표1[[#This Row],[AB]]</f>
        <v>0.240990990990991</v>
      </c>
      <c r="AH156">
        <f>(표1[[#This Row],[TB]]-표1[[#This Row],[H]]+표1[[#This Row],[BB]]+표1[[#This Row],[SB]]-표1[[#This Row],[CS]])/표1[[#This Row],[AB]]</f>
        <v>0.36936936936936937</v>
      </c>
      <c r="AI156">
        <f>(표1[[#This Row],[TB]]+표1[[#This Row],[BB]]+표1[[#This Row],[HBP]]+표1[[#This Row],[SB]]-표1[[#This Row],[CS]])/(표1[[#This Row],[AB]]-표1[[#This Row],[H]]+표1[[#This Row],[CS]]+표1[[#This Row],[GDP]])</f>
        <v>0.88288288288288286</v>
      </c>
      <c r="AJ15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84.604756335282644</v>
      </c>
      <c r="AK156">
        <f>표1[[#This Row],[RC]]/((표1[[#This Row],[AB]]-표1[[#This Row],[H]]+표1[[#This Row],[SAC]]+표1[[#This Row],[SF]]+표1[[#This Row],[CS]]+표1[[#This Row],[GDP]])/27)</f>
        <v>6.7186130030959745</v>
      </c>
      <c r="AL15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0.37380664062499991</v>
      </c>
      <c r="AM15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82.417999999999992</v>
      </c>
    </row>
    <row r="157" spans="1:39" x14ac:dyDescent="0.3">
      <c r="A157" t="str">
        <f>_xlfn.CONCAT(표1[[#This Row],[Year]],표1[[#This Row],[Player]])</f>
        <v>2005홍성흔</v>
      </c>
      <c r="B157">
        <v>2005</v>
      </c>
      <c r="C157">
        <v>28</v>
      </c>
      <c r="D157" t="s">
        <v>49</v>
      </c>
      <c r="E157" t="s">
        <v>1</v>
      </c>
      <c r="F157">
        <v>0.27200000000000002</v>
      </c>
      <c r="G157">
        <v>115</v>
      </c>
      <c r="H157">
        <v>433</v>
      </c>
      <c r="I157">
        <v>394</v>
      </c>
      <c r="J157">
        <v>41</v>
      </c>
      <c r="K157">
        <v>107</v>
      </c>
      <c r="L157">
        <f>표1[[#This Row],[H]]-표1[[#This Row],[2B]]-표1[[#This Row],[3B]]-표1[[#This Row],[HR]]</f>
        <v>79</v>
      </c>
      <c r="M157">
        <v>17</v>
      </c>
      <c r="N157">
        <v>0</v>
      </c>
      <c r="O157">
        <v>11</v>
      </c>
      <c r="P157">
        <v>157</v>
      </c>
      <c r="Q157">
        <v>74</v>
      </c>
      <c r="R157">
        <v>4</v>
      </c>
      <c r="S157">
        <v>3</v>
      </c>
      <c r="T157">
        <v>29</v>
      </c>
      <c r="U157">
        <v>0</v>
      </c>
      <c r="V157">
        <v>2</v>
      </c>
      <c r="W157">
        <v>2</v>
      </c>
      <c r="X157">
        <v>3</v>
      </c>
      <c r="Y157">
        <v>57</v>
      </c>
      <c r="Z157">
        <v>17</v>
      </c>
      <c r="AA157">
        <v>0.39800000000000002</v>
      </c>
      <c r="AB157">
        <v>0.32400000000000001</v>
      </c>
      <c r="AC157">
        <v>0.72199999999999998</v>
      </c>
      <c r="AD157">
        <v>31</v>
      </c>
      <c r="AE157">
        <v>0.28999999999999998</v>
      </c>
      <c r="AF157">
        <v>0</v>
      </c>
      <c r="AG157">
        <f>(표1[[#This Row],[TB]]-표1[[#This Row],[H]])/표1[[#This Row],[AB]]</f>
        <v>0.12690355329949238</v>
      </c>
      <c r="AH157">
        <f>(표1[[#This Row],[TB]]-표1[[#This Row],[H]]+표1[[#This Row],[BB]]+표1[[#This Row],[SB]]-표1[[#This Row],[CS]])/표1[[#This Row],[AB]]</f>
        <v>0.20050761421319796</v>
      </c>
      <c r="AI157">
        <f>(표1[[#This Row],[TB]]+표1[[#This Row],[BB]]+표1[[#This Row],[HBP]]+표1[[#This Row],[SB]]-표1[[#This Row],[CS]])/(표1[[#This Row],[AB]]-표1[[#This Row],[H]]+표1[[#This Row],[CS]]+표1[[#This Row],[GDP]])</f>
        <v>0.61764705882352944</v>
      </c>
      <c r="AJ15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47.113163972286372</v>
      </c>
      <c r="AK157">
        <f>표1[[#This Row],[RC]]/((표1[[#This Row],[AB]]-표1[[#This Row],[H]]+표1[[#This Row],[SAC]]+표1[[#This Row],[SF]]+표1[[#This Row],[CS]]+표1[[#This Row],[GDP]])/27)</f>
        <v>4.0640748474496231</v>
      </c>
      <c r="AL15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0.31712820512820511</v>
      </c>
      <c r="AM15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46.873999999999988</v>
      </c>
    </row>
    <row r="158" spans="1:39" x14ac:dyDescent="0.3">
      <c r="A158" t="str">
        <f>_xlfn.CONCAT(표1[[#This Row],[Year]],표1[[#This Row],[Player]])</f>
        <v>2005이호준</v>
      </c>
      <c r="B158">
        <v>2005</v>
      </c>
      <c r="C158">
        <v>29</v>
      </c>
      <c r="D158" t="s">
        <v>27</v>
      </c>
      <c r="E158" t="s">
        <v>8</v>
      </c>
      <c r="F158">
        <v>0.27100000000000002</v>
      </c>
      <c r="G158">
        <v>105</v>
      </c>
      <c r="H158">
        <v>411</v>
      </c>
      <c r="I158">
        <v>354</v>
      </c>
      <c r="J158">
        <v>59</v>
      </c>
      <c r="K158">
        <v>96</v>
      </c>
      <c r="L158">
        <f>표1[[#This Row],[H]]-표1[[#This Row],[2B]]-표1[[#This Row],[3B]]-표1[[#This Row],[HR]]</f>
        <v>58</v>
      </c>
      <c r="M158">
        <v>16</v>
      </c>
      <c r="N158">
        <v>1</v>
      </c>
      <c r="O158">
        <v>21</v>
      </c>
      <c r="P158">
        <v>177</v>
      </c>
      <c r="Q158">
        <v>65</v>
      </c>
      <c r="R158">
        <v>0</v>
      </c>
      <c r="S158">
        <v>2</v>
      </c>
      <c r="T158">
        <v>45</v>
      </c>
      <c r="U158">
        <v>2</v>
      </c>
      <c r="V158">
        <v>5</v>
      </c>
      <c r="W158">
        <v>5</v>
      </c>
      <c r="X158">
        <v>10</v>
      </c>
      <c r="Y158">
        <v>68</v>
      </c>
      <c r="Z158">
        <v>10</v>
      </c>
      <c r="AA158">
        <v>0.5</v>
      </c>
      <c r="AB158">
        <v>0.36699999999999999</v>
      </c>
      <c r="AC158">
        <v>0.86699999999999999</v>
      </c>
      <c r="AD158">
        <v>26</v>
      </c>
      <c r="AE158">
        <v>0.26</v>
      </c>
      <c r="AF158">
        <v>0</v>
      </c>
      <c r="AG158">
        <f>(표1[[#This Row],[TB]]-표1[[#This Row],[H]])/표1[[#This Row],[AB]]</f>
        <v>0.2288135593220339</v>
      </c>
      <c r="AH158">
        <f>(표1[[#This Row],[TB]]-표1[[#This Row],[H]]+표1[[#This Row],[BB]]+표1[[#This Row],[SB]]-표1[[#This Row],[CS]])/표1[[#This Row],[AB]]</f>
        <v>0.3559322033898305</v>
      </c>
      <c r="AI158">
        <f>(표1[[#This Row],[TB]]+표1[[#This Row],[BB]]+표1[[#This Row],[HBP]]+표1[[#This Row],[SB]]-표1[[#This Row],[CS]])/(표1[[#This Row],[AB]]-표1[[#This Row],[H]]+표1[[#This Row],[CS]]+표1[[#This Row],[GDP]])</f>
        <v>0.8498168498168498</v>
      </c>
      <c r="AJ15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64.333625304136248</v>
      </c>
      <c r="AK158">
        <f>표1[[#This Row],[RC]]/((표1[[#This Row],[AB]]-표1[[#This Row],[H]]+표1[[#This Row],[SAC]]+표1[[#This Row],[SF]]+표1[[#This Row],[CS]]+표1[[#This Row],[GDP]])/27)</f>
        <v>6.3163923025879223</v>
      </c>
      <c r="AL15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0.37439608801955987</v>
      </c>
      <c r="AM15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62.896000000000008</v>
      </c>
    </row>
    <row r="159" spans="1:39" x14ac:dyDescent="0.3">
      <c r="A159" t="str">
        <f>_xlfn.CONCAT(표1[[#This Row],[Year]],표1[[#This Row],[Player]])</f>
        <v>2005송지만</v>
      </c>
      <c r="B159">
        <v>2005</v>
      </c>
      <c r="C159">
        <v>30</v>
      </c>
      <c r="D159" t="s">
        <v>62</v>
      </c>
      <c r="E159" t="s">
        <v>3</v>
      </c>
      <c r="F159">
        <v>0.27100000000000002</v>
      </c>
      <c r="G159">
        <v>123</v>
      </c>
      <c r="H159">
        <v>510</v>
      </c>
      <c r="I159">
        <v>436</v>
      </c>
      <c r="J159">
        <v>70</v>
      </c>
      <c r="K159">
        <v>118</v>
      </c>
      <c r="L159">
        <f>표1[[#This Row],[H]]-표1[[#This Row],[2B]]-표1[[#This Row],[3B]]-표1[[#This Row],[HR]]</f>
        <v>72</v>
      </c>
      <c r="M159">
        <v>22</v>
      </c>
      <c r="N159">
        <v>0</v>
      </c>
      <c r="O159">
        <v>24</v>
      </c>
      <c r="P159">
        <v>212</v>
      </c>
      <c r="Q159">
        <v>74</v>
      </c>
      <c r="R159">
        <v>4</v>
      </c>
      <c r="S159">
        <v>3</v>
      </c>
      <c r="T159">
        <v>43</v>
      </c>
      <c r="U159">
        <v>0</v>
      </c>
      <c r="V159">
        <v>3</v>
      </c>
      <c r="W159">
        <v>3</v>
      </c>
      <c r="X159">
        <v>24</v>
      </c>
      <c r="Y159">
        <v>101</v>
      </c>
      <c r="Z159">
        <v>9</v>
      </c>
      <c r="AA159">
        <v>0.48599999999999999</v>
      </c>
      <c r="AB159">
        <v>0.36599999999999999</v>
      </c>
      <c r="AC159">
        <v>0.85199999999999998</v>
      </c>
      <c r="AD159">
        <v>30</v>
      </c>
      <c r="AE159">
        <v>0.20200000000000001</v>
      </c>
      <c r="AF159">
        <v>0.28599999999999998</v>
      </c>
      <c r="AG159">
        <f>(표1[[#This Row],[TB]]-표1[[#This Row],[H]])/표1[[#This Row],[AB]]</f>
        <v>0.21559633027522937</v>
      </c>
      <c r="AH159">
        <f>(표1[[#This Row],[TB]]-표1[[#This Row],[H]]+표1[[#This Row],[BB]]+표1[[#This Row],[SB]]-표1[[#This Row],[CS]])/표1[[#This Row],[AB]]</f>
        <v>0.31422018348623854</v>
      </c>
      <c r="AI159">
        <f>(표1[[#This Row],[TB]]+표1[[#This Row],[BB]]+표1[[#This Row],[HBP]]+표1[[#This Row],[SB]]-표1[[#This Row],[CS]])/(표1[[#This Row],[AB]]-표1[[#This Row],[H]]+표1[[#This Row],[CS]]+표1[[#This Row],[GDP]])</f>
        <v>0.84545454545454546</v>
      </c>
      <c r="AJ15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79.586784313725488</v>
      </c>
      <c r="AK159">
        <f>표1[[#This Row],[RC]]/((표1[[#This Row],[AB]]-표1[[#This Row],[H]]+표1[[#This Row],[SAC]]+표1[[#This Row],[SF]]+표1[[#This Row],[CS]]+표1[[#This Row],[GDP]])/27)</f>
        <v>6.3763892476872055</v>
      </c>
      <c r="AL15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0.37101778656126477</v>
      </c>
      <c r="AM15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77.27200000000002</v>
      </c>
    </row>
    <row r="160" spans="1:39" x14ac:dyDescent="0.3">
      <c r="A160" t="str">
        <f>_xlfn.CONCAT(표1[[#This Row],[Year]],표1[[#This Row],[Player]])</f>
        <v>2005라이온</v>
      </c>
      <c r="B160">
        <v>2005</v>
      </c>
      <c r="C160">
        <v>31</v>
      </c>
      <c r="D160" t="s">
        <v>55</v>
      </c>
      <c r="E160" t="s">
        <v>17</v>
      </c>
      <c r="F160">
        <v>0.26800000000000002</v>
      </c>
      <c r="G160">
        <v>125</v>
      </c>
      <c r="H160">
        <v>534</v>
      </c>
      <c r="I160">
        <v>492</v>
      </c>
      <c r="J160">
        <v>65</v>
      </c>
      <c r="K160">
        <v>132</v>
      </c>
      <c r="L160">
        <f>표1[[#This Row],[H]]-표1[[#This Row],[2B]]-표1[[#This Row],[3B]]-표1[[#This Row],[HR]]</f>
        <v>78</v>
      </c>
      <c r="M160">
        <v>40</v>
      </c>
      <c r="N160">
        <v>3</v>
      </c>
      <c r="O160">
        <v>11</v>
      </c>
      <c r="P160">
        <v>211</v>
      </c>
      <c r="Q160">
        <v>73</v>
      </c>
      <c r="R160">
        <v>2</v>
      </c>
      <c r="S160">
        <v>1</v>
      </c>
      <c r="T160">
        <v>37</v>
      </c>
      <c r="U160">
        <v>3</v>
      </c>
      <c r="V160">
        <v>7</v>
      </c>
      <c r="W160">
        <v>3</v>
      </c>
      <c r="X160">
        <v>2</v>
      </c>
      <c r="Y160">
        <v>70</v>
      </c>
      <c r="Z160">
        <v>11</v>
      </c>
      <c r="AA160">
        <v>0.42899999999999999</v>
      </c>
      <c r="AB160">
        <v>0.32100000000000001</v>
      </c>
      <c r="AC160">
        <v>0.75</v>
      </c>
      <c r="AD160">
        <v>36</v>
      </c>
      <c r="AE160">
        <v>0.32600000000000001</v>
      </c>
      <c r="AF160">
        <v>0</v>
      </c>
      <c r="AG160">
        <f>(표1[[#This Row],[TB]]-표1[[#This Row],[H]])/표1[[#This Row],[AB]]</f>
        <v>0.16056910569105692</v>
      </c>
      <c r="AH160">
        <f>(표1[[#This Row],[TB]]-표1[[#This Row],[H]]+표1[[#This Row],[BB]]+표1[[#This Row],[SB]]-표1[[#This Row],[CS]])/표1[[#This Row],[AB]]</f>
        <v>0.24390243902439024</v>
      </c>
      <c r="AI160">
        <f>(표1[[#This Row],[TB]]+표1[[#This Row],[BB]]+표1[[#This Row],[HBP]]+표1[[#This Row],[SB]]-표1[[#This Row],[CS]])/(표1[[#This Row],[AB]]-표1[[#This Row],[H]]+표1[[#This Row],[CS]]+표1[[#This Row],[GDP]])</f>
        <v>0.67914438502673802</v>
      </c>
      <c r="AJ16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66.31632958801498</v>
      </c>
      <c r="AK160">
        <f>표1[[#This Row],[RC]]/((표1[[#This Row],[AB]]-표1[[#This Row],[H]]+표1[[#This Row],[SAC]]+표1[[#This Row],[SF]]+표1[[#This Row],[CS]]+표1[[#This Row],[GDP]])/27)</f>
        <v>4.7494453551098257</v>
      </c>
      <c r="AL16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0.32436105860113418</v>
      </c>
      <c r="AM16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63.470000000000013</v>
      </c>
    </row>
    <row r="161" spans="1:39" x14ac:dyDescent="0.3">
      <c r="A161" t="str">
        <f>_xlfn.CONCAT(표1[[#This Row],[Year]],표1[[#This Row],[Player]])</f>
        <v>2005박종호</v>
      </c>
      <c r="B161">
        <v>2005</v>
      </c>
      <c r="C161">
        <v>32</v>
      </c>
      <c r="D161" t="s">
        <v>23</v>
      </c>
      <c r="E161" t="s">
        <v>6</v>
      </c>
      <c r="F161">
        <v>0.26800000000000002</v>
      </c>
      <c r="G161">
        <v>119</v>
      </c>
      <c r="H161">
        <v>484</v>
      </c>
      <c r="I161">
        <v>392</v>
      </c>
      <c r="J161">
        <v>63</v>
      </c>
      <c r="K161">
        <v>105</v>
      </c>
      <c r="L161">
        <f>표1[[#This Row],[H]]-표1[[#This Row],[2B]]-표1[[#This Row],[3B]]-표1[[#This Row],[HR]]</f>
        <v>80</v>
      </c>
      <c r="M161">
        <v>21</v>
      </c>
      <c r="N161">
        <v>0</v>
      </c>
      <c r="O161">
        <v>4</v>
      </c>
      <c r="P161">
        <v>138</v>
      </c>
      <c r="Q161">
        <v>36</v>
      </c>
      <c r="R161">
        <v>25</v>
      </c>
      <c r="S161">
        <v>3</v>
      </c>
      <c r="T161">
        <v>46</v>
      </c>
      <c r="U161">
        <v>1</v>
      </c>
      <c r="V161">
        <v>5</v>
      </c>
      <c r="W161">
        <v>2</v>
      </c>
      <c r="X161">
        <v>18</v>
      </c>
      <c r="Y161">
        <v>48</v>
      </c>
      <c r="Z161">
        <v>4</v>
      </c>
      <c r="AA161">
        <v>0.35199999999999998</v>
      </c>
      <c r="AB161">
        <v>0.36799999999999999</v>
      </c>
      <c r="AC161">
        <v>0.72</v>
      </c>
      <c r="AD161">
        <v>30</v>
      </c>
      <c r="AE161">
        <v>0.26300000000000001</v>
      </c>
      <c r="AF161">
        <v>0</v>
      </c>
      <c r="AG161">
        <f>(표1[[#This Row],[TB]]-표1[[#This Row],[H]])/표1[[#This Row],[AB]]</f>
        <v>8.4183673469387751E-2</v>
      </c>
      <c r="AH161">
        <f>(표1[[#This Row],[TB]]-표1[[#This Row],[H]]+표1[[#This Row],[BB]]+표1[[#This Row],[SB]]-표1[[#This Row],[CS]])/표1[[#This Row],[AB]]</f>
        <v>0.20918367346938777</v>
      </c>
      <c r="AI161">
        <f>(표1[[#This Row],[TB]]+표1[[#This Row],[BB]]+표1[[#This Row],[HBP]]+표1[[#This Row],[SB]]-표1[[#This Row],[CS]])/(표1[[#This Row],[AB]]-표1[[#This Row],[H]]+표1[[#This Row],[CS]]+표1[[#This Row],[GDP]])</f>
        <v>0.69965870307167233</v>
      </c>
      <c r="AJ16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57.770702479338844</v>
      </c>
      <c r="AK161">
        <f>표1[[#This Row],[RC]]/((표1[[#This Row],[AB]]-표1[[#This Row],[H]]+표1[[#This Row],[SAC]]+표1[[#This Row],[SF]]+표1[[#This Row],[CS]]+표1[[#This Row],[GDP]])/27)</f>
        <v>4.8592179655518652</v>
      </c>
      <c r="AL16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0.3262882096069869</v>
      </c>
      <c r="AM16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57.225999999999999</v>
      </c>
    </row>
    <row r="162" spans="1:39" x14ac:dyDescent="0.3">
      <c r="A162" t="str">
        <f>_xlfn.CONCAT(표1[[#This Row],[Year]],표1[[#This Row],[Player]])</f>
        <v>2005정성훈</v>
      </c>
      <c r="B162">
        <v>2005</v>
      </c>
      <c r="C162">
        <v>33</v>
      </c>
      <c r="D162" t="s">
        <v>61</v>
      </c>
      <c r="E162" t="s">
        <v>3</v>
      </c>
      <c r="F162">
        <v>0.26600000000000001</v>
      </c>
      <c r="G162">
        <v>126</v>
      </c>
      <c r="H162">
        <v>523</v>
      </c>
      <c r="I162">
        <v>458</v>
      </c>
      <c r="J162">
        <v>61</v>
      </c>
      <c r="K162">
        <v>122</v>
      </c>
      <c r="L162">
        <f>표1[[#This Row],[H]]-표1[[#This Row],[2B]]-표1[[#This Row],[3B]]-표1[[#This Row],[HR]]</f>
        <v>84</v>
      </c>
      <c r="M162">
        <v>20</v>
      </c>
      <c r="N162">
        <v>1</v>
      </c>
      <c r="O162">
        <v>17</v>
      </c>
      <c r="P162">
        <v>195</v>
      </c>
      <c r="Q162">
        <v>72</v>
      </c>
      <c r="R162">
        <v>9</v>
      </c>
      <c r="S162">
        <v>0</v>
      </c>
      <c r="T162">
        <v>49</v>
      </c>
      <c r="U162">
        <v>0</v>
      </c>
      <c r="V162">
        <v>7</v>
      </c>
      <c r="W162">
        <v>3</v>
      </c>
      <c r="X162">
        <v>7</v>
      </c>
      <c r="Y162">
        <v>67</v>
      </c>
      <c r="Z162">
        <v>14</v>
      </c>
      <c r="AA162">
        <v>0.42599999999999999</v>
      </c>
      <c r="AB162">
        <v>0.34599999999999997</v>
      </c>
      <c r="AC162">
        <v>0.77200000000000002</v>
      </c>
      <c r="AD162">
        <v>27</v>
      </c>
      <c r="AE162">
        <v>0.313</v>
      </c>
      <c r="AF162">
        <v>0</v>
      </c>
      <c r="AG162">
        <f>(표1[[#This Row],[TB]]-표1[[#This Row],[H]])/표1[[#This Row],[AB]]</f>
        <v>0.15938864628820962</v>
      </c>
      <c r="AH162">
        <f>(표1[[#This Row],[TB]]-표1[[#This Row],[H]]+표1[[#This Row],[BB]]+표1[[#This Row],[SB]]-표1[[#This Row],[CS]])/표1[[#This Row],[AB]]</f>
        <v>0.27510917030567683</v>
      </c>
      <c r="AI162">
        <f>(표1[[#This Row],[TB]]+표1[[#This Row],[BB]]+표1[[#This Row],[HBP]]+표1[[#This Row],[SB]]-표1[[#This Row],[CS]])/(표1[[#This Row],[AB]]-표1[[#This Row],[H]]+표1[[#This Row],[CS]]+표1[[#This Row],[GDP]])</f>
        <v>0.72237960339943341</v>
      </c>
      <c r="AJ16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67.072045889101332</v>
      </c>
      <c r="AK162">
        <f>표1[[#This Row],[RC]]/((표1[[#This Row],[AB]]-표1[[#This Row],[H]]+표1[[#This Row],[SAC]]+표1[[#This Row],[SF]]+표1[[#This Row],[CS]]+표1[[#This Row],[GDP]])/27)</f>
        <v>5.0026111574744094</v>
      </c>
      <c r="AL16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0.34024902723735406</v>
      </c>
      <c r="AM16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65.66400000000003</v>
      </c>
    </row>
    <row r="163" spans="1:39" x14ac:dyDescent="0.3">
      <c r="A163" t="str">
        <f>_xlfn.CONCAT(표1[[#This Row],[Year]],표1[[#This Row],[Player]])</f>
        <v>2005이대호</v>
      </c>
      <c r="B163">
        <v>2005</v>
      </c>
      <c r="C163">
        <v>34</v>
      </c>
      <c r="D163" t="s">
        <v>64</v>
      </c>
      <c r="E163" t="s">
        <v>17</v>
      </c>
      <c r="F163">
        <v>0.26600000000000001</v>
      </c>
      <c r="G163">
        <v>126</v>
      </c>
      <c r="H163">
        <v>512</v>
      </c>
      <c r="I163">
        <v>447</v>
      </c>
      <c r="J163">
        <v>53</v>
      </c>
      <c r="K163">
        <v>119</v>
      </c>
      <c r="L163">
        <f>표1[[#This Row],[H]]-표1[[#This Row],[2B]]-표1[[#This Row],[3B]]-표1[[#This Row],[HR]]</f>
        <v>80</v>
      </c>
      <c r="M163">
        <v>16</v>
      </c>
      <c r="N163">
        <v>2</v>
      </c>
      <c r="O163">
        <v>21</v>
      </c>
      <c r="P163">
        <v>202</v>
      </c>
      <c r="Q163">
        <v>80</v>
      </c>
      <c r="R163">
        <v>0</v>
      </c>
      <c r="S163">
        <v>3</v>
      </c>
      <c r="T163">
        <v>47</v>
      </c>
      <c r="U163">
        <v>4</v>
      </c>
      <c r="V163">
        <v>1</v>
      </c>
      <c r="W163">
        <v>0</v>
      </c>
      <c r="X163">
        <v>15</v>
      </c>
      <c r="Y163">
        <v>76</v>
      </c>
      <c r="Z163">
        <v>12</v>
      </c>
      <c r="AA163">
        <v>0.45200000000000001</v>
      </c>
      <c r="AB163">
        <v>0.35399999999999998</v>
      </c>
      <c r="AC163">
        <v>0.80600000000000005</v>
      </c>
      <c r="AD163">
        <v>29</v>
      </c>
      <c r="AE163">
        <v>0.27300000000000002</v>
      </c>
      <c r="AF163">
        <v>0</v>
      </c>
      <c r="AG163">
        <f>(표1[[#This Row],[TB]]-표1[[#This Row],[H]])/표1[[#This Row],[AB]]</f>
        <v>0.18568232662192394</v>
      </c>
      <c r="AH163">
        <f>(표1[[#This Row],[TB]]-표1[[#This Row],[H]]+표1[[#This Row],[BB]]+표1[[#This Row],[SB]]-표1[[#This Row],[CS]])/표1[[#This Row],[AB]]</f>
        <v>0.29306487695749439</v>
      </c>
      <c r="AI163">
        <f>(표1[[#This Row],[TB]]+표1[[#This Row],[BB]]+표1[[#This Row],[HBP]]+표1[[#This Row],[SB]]-표1[[#This Row],[CS]])/(표1[[#This Row],[AB]]-표1[[#This Row],[H]]+표1[[#This Row],[CS]]+표1[[#This Row],[GDP]])</f>
        <v>0.77941176470588236</v>
      </c>
      <c r="AJ16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72.339921875000002</v>
      </c>
      <c r="AK163">
        <f>표1[[#This Row],[RC]]/((표1[[#This Row],[AB]]-표1[[#This Row],[H]]+표1[[#This Row],[SAC]]+표1[[#This Row],[SF]]+표1[[#This Row],[CS]]+표1[[#This Row],[GDP]])/27)</f>
        <v>5.6943961825801752</v>
      </c>
      <c r="AL16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0.34995866141732285</v>
      </c>
      <c r="AM16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71.281999999999996</v>
      </c>
    </row>
    <row r="164" spans="1:39" x14ac:dyDescent="0.3">
      <c r="A164" t="str">
        <f>_xlfn.CONCAT(표1[[#This Row],[Year]],표1[[#This Row],[Player]])</f>
        <v>2005이용규</v>
      </c>
      <c r="B164">
        <v>2005</v>
      </c>
      <c r="C164">
        <v>35</v>
      </c>
      <c r="D164" t="s">
        <v>74</v>
      </c>
      <c r="E164" t="s">
        <v>13</v>
      </c>
      <c r="F164">
        <v>0.26600000000000001</v>
      </c>
      <c r="G164">
        <v>124</v>
      </c>
      <c r="H164">
        <v>479</v>
      </c>
      <c r="I164">
        <v>414</v>
      </c>
      <c r="J164">
        <v>57</v>
      </c>
      <c r="K164">
        <v>110</v>
      </c>
      <c r="L164">
        <f>표1[[#This Row],[H]]-표1[[#This Row],[2B]]-표1[[#This Row],[3B]]-표1[[#This Row],[HR]]</f>
        <v>86</v>
      </c>
      <c r="M164">
        <v>17</v>
      </c>
      <c r="N164">
        <v>2</v>
      </c>
      <c r="O164">
        <v>5</v>
      </c>
      <c r="P164">
        <v>146</v>
      </c>
      <c r="Q164">
        <v>37</v>
      </c>
      <c r="R164">
        <v>14</v>
      </c>
      <c r="S164">
        <v>3</v>
      </c>
      <c r="T164">
        <v>39</v>
      </c>
      <c r="U164">
        <v>0</v>
      </c>
      <c r="V164">
        <v>31</v>
      </c>
      <c r="W164">
        <v>10</v>
      </c>
      <c r="X164">
        <v>9</v>
      </c>
      <c r="Y164">
        <v>64</v>
      </c>
      <c r="Z164">
        <v>6</v>
      </c>
      <c r="AA164">
        <v>0.35299999999999998</v>
      </c>
      <c r="AB164">
        <v>0.34</v>
      </c>
      <c r="AC164">
        <v>0.69299999999999995</v>
      </c>
      <c r="AD164">
        <v>28</v>
      </c>
      <c r="AE164">
        <v>0.20799999999999999</v>
      </c>
      <c r="AF164">
        <v>0</v>
      </c>
      <c r="AG164">
        <f>(표1[[#This Row],[TB]]-표1[[#This Row],[H]])/표1[[#This Row],[AB]]</f>
        <v>8.6956521739130432E-2</v>
      </c>
      <c r="AH164">
        <f>(표1[[#This Row],[TB]]-표1[[#This Row],[H]]+표1[[#This Row],[BB]]+표1[[#This Row],[SB]]-표1[[#This Row],[CS]])/표1[[#This Row],[AB]]</f>
        <v>0.2318840579710145</v>
      </c>
      <c r="AI164">
        <f>(표1[[#This Row],[TB]]+표1[[#This Row],[BB]]+표1[[#This Row],[HBP]]+표1[[#This Row],[SB]]-표1[[#This Row],[CS]])/(표1[[#This Row],[AB]]-표1[[#This Row],[H]]+표1[[#This Row],[CS]]+표1[[#This Row],[GDP]])</f>
        <v>0.671875</v>
      </c>
      <c r="AJ16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54.380960334029226</v>
      </c>
      <c r="AK164">
        <f>표1[[#This Row],[RC]]/((표1[[#This Row],[AB]]-표1[[#This Row],[H]]+표1[[#This Row],[SAC]]+표1[[#This Row],[SF]]+표1[[#This Row],[CS]]+표1[[#This Row],[GDP]])/27)</f>
        <v>4.3569315401151014</v>
      </c>
      <c r="AL16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0.31035698924731181</v>
      </c>
      <c r="AM16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54.797999999999995</v>
      </c>
    </row>
    <row r="165" spans="1:39" x14ac:dyDescent="0.3">
      <c r="A165" t="str">
        <f>_xlfn.CONCAT(표1[[#This Row],[Year]],표1[[#This Row],[Player]])</f>
        <v>2005양준혁</v>
      </c>
      <c r="B165">
        <v>2005</v>
      </c>
      <c r="C165">
        <v>36</v>
      </c>
      <c r="D165" t="s">
        <v>5</v>
      </c>
      <c r="E165" t="s">
        <v>6</v>
      </c>
      <c r="F165">
        <v>0.26100000000000001</v>
      </c>
      <c r="G165">
        <v>124</v>
      </c>
      <c r="H165">
        <v>463</v>
      </c>
      <c r="I165">
        <v>394</v>
      </c>
      <c r="J165">
        <v>61</v>
      </c>
      <c r="K165">
        <v>103</v>
      </c>
      <c r="L165">
        <f>표1[[#This Row],[H]]-표1[[#This Row],[2B]]-표1[[#This Row],[3B]]-표1[[#This Row],[HR]]</f>
        <v>74</v>
      </c>
      <c r="M165">
        <v>15</v>
      </c>
      <c r="N165">
        <v>1</v>
      </c>
      <c r="O165">
        <v>13</v>
      </c>
      <c r="P165">
        <v>159</v>
      </c>
      <c r="Q165">
        <v>50</v>
      </c>
      <c r="R165">
        <v>0</v>
      </c>
      <c r="S165">
        <v>2</v>
      </c>
      <c r="T165">
        <v>62</v>
      </c>
      <c r="U165">
        <v>5</v>
      </c>
      <c r="V165">
        <v>10</v>
      </c>
      <c r="W165">
        <v>3</v>
      </c>
      <c r="X165">
        <v>5</v>
      </c>
      <c r="Y165">
        <v>44</v>
      </c>
      <c r="Z165">
        <v>16</v>
      </c>
      <c r="AA165">
        <v>0.40400000000000003</v>
      </c>
      <c r="AB165">
        <v>0.36699999999999999</v>
      </c>
      <c r="AC165">
        <v>0.77100000000000002</v>
      </c>
      <c r="AD165">
        <v>29</v>
      </c>
      <c r="AE165">
        <v>0.22900000000000001</v>
      </c>
      <c r="AF165">
        <v>0.2</v>
      </c>
      <c r="AG165">
        <f>(표1[[#This Row],[TB]]-표1[[#This Row],[H]])/표1[[#This Row],[AB]]</f>
        <v>0.14213197969543148</v>
      </c>
      <c r="AH165">
        <f>(표1[[#This Row],[TB]]-표1[[#This Row],[H]]+표1[[#This Row],[BB]]+표1[[#This Row],[SB]]-표1[[#This Row],[CS]])/표1[[#This Row],[AB]]</f>
        <v>0.31725888324873097</v>
      </c>
      <c r="AI165">
        <f>(표1[[#This Row],[TB]]+표1[[#This Row],[BB]]+표1[[#This Row],[HBP]]+표1[[#This Row],[SB]]-표1[[#This Row],[CS]])/(표1[[#This Row],[AB]]-표1[[#This Row],[H]]+표1[[#This Row],[CS]]+표1[[#This Row],[GDP]])</f>
        <v>0.75161290322580643</v>
      </c>
      <c r="AJ16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59.147645788336938</v>
      </c>
      <c r="AK165">
        <f>표1[[#This Row],[RC]]/((표1[[#This Row],[AB]]-표1[[#This Row],[H]]+표1[[#This Row],[SAC]]+표1[[#This Row],[SF]]+표1[[#This Row],[CS]]+표1[[#This Row],[GDP]])/27)</f>
        <v>5.1185462701445426</v>
      </c>
      <c r="AL16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0.33977074235807858</v>
      </c>
      <c r="AM16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59.008000000000003</v>
      </c>
    </row>
    <row r="166" spans="1:39" x14ac:dyDescent="0.3">
      <c r="A166" t="str">
        <f>_xlfn.CONCAT(표1[[#This Row],[Year]],표1[[#This Row],[Player]])</f>
        <v>2005이도형</v>
      </c>
      <c r="B166">
        <v>2005</v>
      </c>
      <c r="C166">
        <v>37</v>
      </c>
      <c r="D166" t="s">
        <v>40</v>
      </c>
      <c r="E166" t="s">
        <v>11</v>
      </c>
      <c r="F166">
        <v>0.25800000000000001</v>
      </c>
      <c r="G166">
        <v>113</v>
      </c>
      <c r="H166">
        <v>431</v>
      </c>
      <c r="I166">
        <v>391</v>
      </c>
      <c r="J166">
        <v>43</v>
      </c>
      <c r="K166">
        <v>101</v>
      </c>
      <c r="L166">
        <f>표1[[#This Row],[H]]-표1[[#This Row],[2B]]-표1[[#This Row],[3B]]-표1[[#This Row],[HR]]</f>
        <v>60</v>
      </c>
      <c r="M166">
        <v>18</v>
      </c>
      <c r="N166">
        <v>1</v>
      </c>
      <c r="O166">
        <v>22</v>
      </c>
      <c r="P166">
        <v>187</v>
      </c>
      <c r="Q166">
        <v>72</v>
      </c>
      <c r="R166">
        <v>0</v>
      </c>
      <c r="S166">
        <v>1</v>
      </c>
      <c r="T166">
        <v>30</v>
      </c>
      <c r="U166">
        <v>0</v>
      </c>
      <c r="V166">
        <v>0</v>
      </c>
      <c r="W166">
        <v>0</v>
      </c>
      <c r="X166">
        <v>9</v>
      </c>
      <c r="Y166">
        <v>75</v>
      </c>
      <c r="Z166">
        <v>15</v>
      </c>
      <c r="AA166">
        <v>0.47799999999999998</v>
      </c>
      <c r="AB166">
        <v>0.32500000000000001</v>
      </c>
      <c r="AC166">
        <v>0.80300000000000005</v>
      </c>
      <c r="AD166">
        <v>25</v>
      </c>
      <c r="AE166">
        <v>0.23699999999999999</v>
      </c>
      <c r="AF166">
        <v>0.27300000000000002</v>
      </c>
      <c r="AG166">
        <f>(표1[[#This Row],[TB]]-표1[[#This Row],[H]])/표1[[#This Row],[AB]]</f>
        <v>0.21994884910485935</v>
      </c>
      <c r="AH166">
        <f>(표1[[#This Row],[TB]]-표1[[#This Row],[H]]+표1[[#This Row],[BB]]+표1[[#This Row],[SB]]-표1[[#This Row],[CS]])/표1[[#This Row],[AB]]</f>
        <v>0.29667519181585678</v>
      </c>
      <c r="AI166">
        <f>(표1[[#This Row],[TB]]+표1[[#This Row],[BB]]+표1[[#This Row],[HBP]]+표1[[#This Row],[SB]]-표1[[#This Row],[CS]])/(표1[[#This Row],[AB]]-표1[[#This Row],[H]]+표1[[#This Row],[CS]]+표1[[#This Row],[GDP]])</f>
        <v>0.74098360655737705</v>
      </c>
      <c r="AJ16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57.325986078886309</v>
      </c>
      <c r="AK166">
        <f>표1[[#This Row],[RC]]/((표1[[#This Row],[AB]]-표1[[#This Row],[H]]+표1[[#This Row],[SAC]]+표1[[#This Row],[SF]]+표1[[#This Row],[CS]]+표1[[#This Row],[GDP]])/27)</f>
        <v>5.0581752422546744</v>
      </c>
      <c r="AL16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0.34747795823665895</v>
      </c>
      <c r="AM16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57.060000000000016</v>
      </c>
    </row>
    <row r="167" spans="1:39" x14ac:dyDescent="0.3">
      <c r="A167" t="str">
        <f>_xlfn.CONCAT(표1[[#This Row],[Year]],표1[[#This Row],[Player]])</f>
        <v>2005신명철</v>
      </c>
      <c r="B167">
        <v>2005</v>
      </c>
      <c r="C167">
        <v>38</v>
      </c>
      <c r="D167" t="s">
        <v>75</v>
      </c>
      <c r="E167" t="s">
        <v>17</v>
      </c>
      <c r="F167">
        <v>0.25600000000000001</v>
      </c>
      <c r="G167">
        <v>116</v>
      </c>
      <c r="H167">
        <v>398</v>
      </c>
      <c r="I167">
        <v>344</v>
      </c>
      <c r="J167">
        <v>47</v>
      </c>
      <c r="K167">
        <v>88</v>
      </c>
      <c r="L167">
        <f>표1[[#This Row],[H]]-표1[[#This Row],[2B]]-표1[[#This Row],[3B]]-표1[[#This Row],[HR]]</f>
        <v>64</v>
      </c>
      <c r="M167">
        <v>16</v>
      </c>
      <c r="N167">
        <v>3</v>
      </c>
      <c r="O167">
        <v>5</v>
      </c>
      <c r="P167">
        <v>125</v>
      </c>
      <c r="Q167">
        <v>33</v>
      </c>
      <c r="R167">
        <v>25</v>
      </c>
      <c r="S167">
        <v>1</v>
      </c>
      <c r="T167">
        <v>25</v>
      </c>
      <c r="U167">
        <v>0</v>
      </c>
      <c r="V167">
        <v>21</v>
      </c>
      <c r="W167">
        <v>8</v>
      </c>
      <c r="X167">
        <v>3</v>
      </c>
      <c r="Y167">
        <v>79</v>
      </c>
      <c r="Z167">
        <v>5</v>
      </c>
      <c r="AA167">
        <v>0.36299999999999999</v>
      </c>
      <c r="AB167">
        <v>0.311</v>
      </c>
      <c r="AC167">
        <v>0.67400000000000004</v>
      </c>
      <c r="AD167">
        <v>19</v>
      </c>
      <c r="AE167">
        <v>0.24399999999999999</v>
      </c>
      <c r="AF167">
        <v>0</v>
      </c>
      <c r="AG167">
        <f>(표1[[#This Row],[TB]]-표1[[#This Row],[H]])/표1[[#This Row],[AB]]</f>
        <v>0.10755813953488372</v>
      </c>
      <c r="AH167">
        <f>(표1[[#This Row],[TB]]-표1[[#This Row],[H]]+표1[[#This Row],[BB]]+표1[[#This Row],[SB]]-표1[[#This Row],[CS]])/표1[[#This Row],[AB]]</f>
        <v>0.21802325581395349</v>
      </c>
      <c r="AI167">
        <f>(표1[[#This Row],[TB]]+표1[[#This Row],[BB]]+표1[[#This Row],[HBP]]+표1[[#This Row],[SB]]-표1[[#This Row],[CS]])/(표1[[#This Row],[AB]]-표1[[#This Row],[H]]+표1[[#This Row],[CS]]+표1[[#This Row],[GDP]])</f>
        <v>0.61710037174721188</v>
      </c>
      <c r="AJ16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40.55819095477387</v>
      </c>
      <c r="AK167">
        <f>표1[[#This Row],[RC]]/((표1[[#This Row],[AB]]-표1[[#This Row],[H]]+표1[[#This Row],[SAC]]+표1[[#This Row],[SF]]+표1[[#This Row],[CS]]+표1[[#This Row],[GDP]])/27)</f>
        <v>3.712105612809812</v>
      </c>
      <c r="AL16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0.29811796246648786</v>
      </c>
      <c r="AM16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40.42799999999999</v>
      </c>
    </row>
    <row r="168" spans="1:39" x14ac:dyDescent="0.3">
      <c r="A168" t="str">
        <f>_xlfn.CONCAT(표1[[#This Row],[Year]],표1[[#This Row],[Player]])</f>
        <v>2005이숭용</v>
      </c>
      <c r="B168">
        <v>2005</v>
      </c>
      <c r="C168">
        <v>39</v>
      </c>
      <c r="D168" t="s">
        <v>22</v>
      </c>
      <c r="E168" t="s">
        <v>3</v>
      </c>
      <c r="F168">
        <v>0.252</v>
      </c>
      <c r="G168">
        <v>105</v>
      </c>
      <c r="H168">
        <v>390</v>
      </c>
      <c r="I168">
        <v>330</v>
      </c>
      <c r="J168">
        <v>45</v>
      </c>
      <c r="K168">
        <v>83</v>
      </c>
      <c r="L168">
        <f>표1[[#This Row],[H]]-표1[[#This Row],[2B]]-표1[[#This Row],[3B]]-표1[[#This Row],[HR]]</f>
        <v>56</v>
      </c>
      <c r="M168">
        <v>13</v>
      </c>
      <c r="N168">
        <v>0</v>
      </c>
      <c r="O168">
        <v>14</v>
      </c>
      <c r="P168">
        <v>138</v>
      </c>
      <c r="Q168">
        <v>55</v>
      </c>
      <c r="R168">
        <v>3</v>
      </c>
      <c r="S168">
        <v>2</v>
      </c>
      <c r="T168">
        <v>46</v>
      </c>
      <c r="U168">
        <v>2</v>
      </c>
      <c r="V168">
        <v>1</v>
      </c>
      <c r="W168">
        <v>1</v>
      </c>
      <c r="X168">
        <v>9</v>
      </c>
      <c r="Y168">
        <v>50</v>
      </c>
      <c r="Z168">
        <v>10</v>
      </c>
      <c r="AA168">
        <v>0.41799999999999998</v>
      </c>
      <c r="AB168">
        <v>0.35699999999999998</v>
      </c>
      <c r="AC168">
        <v>0.77500000000000002</v>
      </c>
      <c r="AD168">
        <v>16</v>
      </c>
      <c r="AE168">
        <v>0.27500000000000002</v>
      </c>
      <c r="AF168">
        <v>0.28599999999999998</v>
      </c>
      <c r="AG168">
        <f>(표1[[#This Row],[TB]]-표1[[#This Row],[H]])/표1[[#This Row],[AB]]</f>
        <v>0.16666666666666666</v>
      </c>
      <c r="AH168">
        <f>(표1[[#This Row],[TB]]-표1[[#This Row],[H]]+표1[[#This Row],[BB]]+표1[[#This Row],[SB]]-표1[[#This Row],[CS]])/표1[[#This Row],[AB]]</f>
        <v>0.30606060606060603</v>
      </c>
      <c r="AI168">
        <f>(표1[[#This Row],[TB]]+표1[[#This Row],[BB]]+표1[[#This Row],[HBP]]+표1[[#This Row],[SB]]-표1[[#This Row],[CS]])/(표1[[#This Row],[AB]]-표1[[#This Row],[H]]+표1[[#This Row],[CS]]+표1[[#This Row],[GDP]])</f>
        <v>0.74806201550387597</v>
      </c>
      <c r="AJ16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50.441794871794869</v>
      </c>
      <c r="AK168">
        <f>표1[[#This Row],[RC]]/((표1[[#This Row],[AB]]-표1[[#This Row],[H]]+표1[[#This Row],[SAC]]+표1[[#This Row],[SF]]+표1[[#This Row],[CS]]+표1[[#This Row],[GDP]])/27)</f>
        <v>5.1784352149751385</v>
      </c>
      <c r="AL16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0.34171168831168824</v>
      </c>
      <c r="AM16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50.429999999999993</v>
      </c>
    </row>
    <row r="169" spans="1:39" x14ac:dyDescent="0.3">
      <c r="A169" t="str">
        <f>_xlfn.CONCAT(표1[[#This Row],[Year]],표1[[#This Row],[Player]])</f>
        <v>2005박경완</v>
      </c>
      <c r="B169">
        <v>2005</v>
      </c>
      <c r="C169">
        <v>40</v>
      </c>
      <c r="D169" t="s">
        <v>46</v>
      </c>
      <c r="E169" t="s">
        <v>8</v>
      </c>
      <c r="F169">
        <v>0.245</v>
      </c>
      <c r="G169">
        <v>114</v>
      </c>
      <c r="H169">
        <v>425</v>
      </c>
      <c r="I169">
        <v>347</v>
      </c>
      <c r="J169">
        <v>43</v>
      </c>
      <c r="K169">
        <v>85</v>
      </c>
      <c r="L169">
        <f>표1[[#This Row],[H]]-표1[[#This Row],[2B]]-표1[[#This Row],[3B]]-표1[[#This Row],[HR]]</f>
        <v>57</v>
      </c>
      <c r="M169">
        <v>17</v>
      </c>
      <c r="N169">
        <v>0</v>
      </c>
      <c r="O169">
        <v>11</v>
      </c>
      <c r="P169">
        <v>135</v>
      </c>
      <c r="Q169">
        <v>44</v>
      </c>
      <c r="R169">
        <v>8</v>
      </c>
      <c r="S169">
        <v>6</v>
      </c>
      <c r="T169">
        <v>57</v>
      </c>
      <c r="U169">
        <v>7</v>
      </c>
      <c r="V169">
        <v>1</v>
      </c>
      <c r="W169">
        <v>4</v>
      </c>
      <c r="X169">
        <v>7</v>
      </c>
      <c r="Y169">
        <v>100</v>
      </c>
      <c r="Z169">
        <v>6</v>
      </c>
      <c r="AA169">
        <v>0.38900000000000001</v>
      </c>
      <c r="AB169">
        <v>0.35699999999999998</v>
      </c>
      <c r="AC169">
        <v>0.746</v>
      </c>
      <c r="AD169">
        <v>18</v>
      </c>
      <c r="AE169">
        <v>0.23200000000000001</v>
      </c>
      <c r="AF169">
        <v>0</v>
      </c>
      <c r="AG169">
        <f>(표1[[#This Row],[TB]]-표1[[#This Row],[H]])/표1[[#This Row],[AB]]</f>
        <v>0.14409221902017291</v>
      </c>
      <c r="AH169">
        <f>(표1[[#This Row],[TB]]-표1[[#This Row],[H]]+표1[[#This Row],[BB]]+표1[[#This Row],[SB]]-표1[[#This Row],[CS]])/표1[[#This Row],[AB]]</f>
        <v>0.29971181556195964</v>
      </c>
      <c r="AI169">
        <f>(표1[[#This Row],[TB]]+표1[[#This Row],[BB]]+표1[[#This Row],[HBP]]+표1[[#This Row],[SB]]-표1[[#This Row],[CS]])/(표1[[#This Row],[AB]]-표1[[#This Row],[H]]+표1[[#This Row],[CS]]+표1[[#This Row],[GDP]])</f>
        <v>0.72058823529411764</v>
      </c>
      <c r="AJ16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51.551011764705883</v>
      </c>
      <c r="AK169">
        <f>표1[[#This Row],[RC]]/((표1[[#This Row],[AB]]-표1[[#This Row],[H]]+표1[[#This Row],[SAC]]+표1[[#This Row],[SF]]+표1[[#This Row],[CS]]+표1[[#This Row],[GDP]])/27)</f>
        <v>4.8667039078568486</v>
      </c>
      <c r="AL16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0.32682682926829265</v>
      </c>
      <c r="AM16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52.550000000000004</v>
      </c>
    </row>
    <row r="170" spans="1:39" x14ac:dyDescent="0.3">
      <c r="A170" t="str">
        <f>_xlfn.CONCAT(표1[[#This Row],[Year]],표1[[#This Row],[Player]])</f>
        <v>2005강동우</v>
      </c>
      <c r="B170">
        <v>2005</v>
      </c>
      <c r="C170">
        <v>41</v>
      </c>
      <c r="D170" t="s">
        <v>39</v>
      </c>
      <c r="E170" t="s">
        <v>6</v>
      </c>
      <c r="F170">
        <v>0.24</v>
      </c>
      <c r="G170">
        <v>125</v>
      </c>
      <c r="H170">
        <v>429</v>
      </c>
      <c r="I170">
        <v>367</v>
      </c>
      <c r="J170">
        <v>61</v>
      </c>
      <c r="K170">
        <v>88</v>
      </c>
      <c r="L170">
        <f>표1[[#This Row],[H]]-표1[[#This Row],[2B]]-표1[[#This Row],[3B]]-표1[[#This Row],[HR]]</f>
        <v>64</v>
      </c>
      <c r="M170">
        <v>15</v>
      </c>
      <c r="N170">
        <v>3</v>
      </c>
      <c r="O170">
        <v>6</v>
      </c>
      <c r="P170">
        <v>127</v>
      </c>
      <c r="Q170">
        <v>38</v>
      </c>
      <c r="R170">
        <v>13</v>
      </c>
      <c r="S170">
        <v>3</v>
      </c>
      <c r="T170">
        <v>43</v>
      </c>
      <c r="U170">
        <v>2</v>
      </c>
      <c r="V170">
        <v>9</v>
      </c>
      <c r="W170">
        <v>1</v>
      </c>
      <c r="X170">
        <v>3</v>
      </c>
      <c r="Y170">
        <v>68</v>
      </c>
      <c r="Z170">
        <v>8</v>
      </c>
      <c r="AA170">
        <v>0.34599999999999997</v>
      </c>
      <c r="AB170">
        <v>0.32200000000000001</v>
      </c>
      <c r="AC170">
        <v>0.66800000000000004</v>
      </c>
      <c r="AD170">
        <v>24</v>
      </c>
      <c r="AE170">
        <v>0.27100000000000002</v>
      </c>
      <c r="AF170">
        <v>0</v>
      </c>
      <c r="AG170">
        <f>(표1[[#This Row],[TB]]-표1[[#This Row],[H]])/표1[[#This Row],[AB]]</f>
        <v>0.10626702997275204</v>
      </c>
      <c r="AH170">
        <f>(표1[[#This Row],[TB]]-표1[[#This Row],[H]]+표1[[#This Row],[BB]]+표1[[#This Row],[SB]]-표1[[#This Row],[CS]])/표1[[#This Row],[AB]]</f>
        <v>0.24523160762942781</v>
      </c>
      <c r="AI170">
        <f>(표1[[#This Row],[TB]]+표1[[#This Row],[BB]]+표1[[#This Row],[HBP]]+표1[[#This Row],[SB]]-표1[[#This Row],[CS]])/(표1[[#This Row],[AB]]-표1[[#This Row],[H]]+표1[[#This Row],[CS]]+표1[[#This Row],[GDP]])</f>
        <v>0.62847222222222221</v>
      </c>
      <c r="AJ17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44.125874125874127</v>
      </c>
      <c r="AK170">
        <f>표1[[#This Row],[RC]]/((표1[[#This Row],[AB]]-표1[[#This Row],[H]]+표1[[#This Row],[SAC]]+표1[[#This Row],[SF]]+표1[[#This Row],[CS]]+표1[[#This Row],[GDP]])/27)</f>
        <v>3.9190743467059255</v>
      </c>
      <c r="AL17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0.29723429951690822</v>
      </c>
      <c r="AM17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44.335999999999991</v>
      </c>
    </row>
    <row r="171" spans="1:39" x14ac:dyDescent="0.3">
      <c r="A171" t="str">
        <f>_xlfn.CONCAT(표1[[#This Row],[Year]],표1[[#This Row],[Player]])</f>
        <v>2005채종국</v>
      </c>
      <c r="B171">
        <v>2005</v>
      </c>
      <c r="C171">
        <v>42</v>
      </c>
      <c r="D171" t="s">
        <v>76</v>
      </c>
      <c r="E171" t="s">
        <v>3</v>
      </c>
      <c r="F171">
        <v>0.23699999999999999</v>
      </c>
      <c r="G171">
        <v>106</v>
      </c>
      <c r="H171">
        <v>407</v>
      </c>
      <c r="I171">
        <v>342</v>
      </c>
      <c r="J171">
        <v>45</v>
      </c>
      <c r="K171">
        <v>81</v>
      </c>
      <c r="L171">
        <f>표1[[#This Row],[H]]-표1[[#This Row],[2B]]-표1[[#This Row],[3B]]-표1[[#This Row],[HR]]</f>
        <v>61</v>
      </c>
      <c r="M171">
        <v>10</v>
      </c>
      <c r="N171">
        <v>1</v>
      </c>
      <c r="O171">
        <v>9</v>
      </c>
      <c r="P171">
        <v>120</v>
      </c>
      <c r="Q171">
        <v>36</v>
      </c>
      <c r="R171">
        <v>16</v>
      </c>
      <c r="S171">
        <v>5</v>
      </c>
      <c r="T171">
        <v>25</v>
      </c>
      <c r="U171">
        <v>1</v>
      </c>
      <c r="V171">
        <v>1</v>
      </c>
      <c r="W171">
        <v>8</v>
      </c>
      <c r="X171">
        <v>19</v>
      </c>
      <c r="Y171">
        <v>40</v>
      </c>
      <c r="Z171">
        <v>6</v>
      </c>
      <c r="AA171">
        <v>0.35099999999999998</v>
      </c>
      <c r="AB171">
        <v>0.32</v>
      </c>
      <c r="AC171">
        <v>0.67100000000000004</v>
      </c>
      <c r="AD171">
        <v>19</v>
      </c>
      <c r="AE171">
        <v>0.2</v>
      </c>
      <c r="AF171">
        <v>0</v>
      </c>
      <c r="AG171">
        <f>(표1[[#This Row],[TB]]-표1[[#This Row],[H]])/표1[[#This Row],[AB]]</f>
        <v>0.11403508771929824</v>
      </c>
      <c r="AH171">
        <f>(표1[[#This Row],[TB]]-표1[[#This Row],[H]]+표1[[#This Row],[BB]]+표1[[#This Row],[SB]]-표1[[#This Row],[CS]])/표1[[#This Row],[AB]]</f>
        <v>0.16666666666666666</v>
      </c>
      <c r="AI171">
        <f>(표1[[#This Row],[TB]]+표1[[#This Row],[BB]]+표1[[#This Row],[HBP]]+표1[[#This Row],[SB]]-표1[[#This Row],[CS]])/(표1[[#This Row],[AB]]-표1[[#This Row],[H]]+표1[[#This Row],[CS]]+표1[[#This Row],[GDP]])</f>
        <v>0.57090909090909092</v>
      </c>
      <c r="AJ17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38.896363636363638</v>
      </c>
      <c r="AK171">
        <f>표1[[#This Row],[RC]]/((표1[[#This Row],[AB]]-표1[[#This Row],[H]]+표1[[#This Row],[SAC]]+표1[[#This Row],[SF]]+표1[[#This Row],[CS]]+표1[[#This Row],[GDP]])/27)</f>
        <v>3.5479791154791154</v>
      </c>
      <c r="AL17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0.29977179487179489</v>
      </c>
      <c r="AM17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40.650000000000006</v>
      </c>
    </row>
    <row r="172" spans="1:39" x14ac:dyDescent="0.3">
      <c r="A172" t="str">
        <f>_xlfn.CONCAT(표1[[#This Row],[Year]],표1[[#This Row],[Player]])</f>
        <v>2005김종국</v>
      </c>
      <c r="B172">
        <v>2005</v>
      </c>
      <c r="C172">
        <v>43</v>
      </c>
      <c r="D172" t="s">
        <v>45</v>
      </c>
      <c r="E172" t="s">
        <v>13</v>
      </c>
      <c r="F172">
        <v>0.23499999999999999</v>
      </c>
      <c r="G172">
        <v>117</v>
      </c>
      <c r="H172">
        <v>429</v>
      </c>
      <c r="I172">
        <v>374</v>
      </c>
      <c r="J172">
        <v>39</v>
      </c>
      <c r="K172">
        <v>88</v>
      </c>
      <c r="L172">
        <f>표1[[#This Row],[H]]-표1[[#This Row],[2B]]-표1[[#This Row],[3B]]-표1[[#This Row],[HR]]</f>
        <v>66</v>
      </c>
      <c r="M172">
        <v>15</v>
      </c>
      <c r="N172">
        <v>3</v>
      </c>
      <c r="O172">
        <v>4</v>
      </c>
      <c r="P172">
        <v>121</v>
      </c>
      <c r="Q172">
        <v>40</v>
      </c>
      <c r="R172">
        <v>10</v>
      </c>
      <c r="S172">
        <v>5</v>
      </c>
      <c r="T172">
        <v>37</v>
      </c>
      <c r="U172">
        <v>0</v>
      </c>
      <c r="V172">
        <v>11</v>
      </c>
      <c r="W172">
        <v>5</v>
      </c>
      <c r="X172">
        <v>3</v>
      </c>
      <c r="Y172">
        <v>68</v>
      </c>
      <c r="Z172">
        <v>7</v>
      </c>
      <c r="AA172">
        <v>0.32400000000000001</v>
      </c>
      <c r="AB172">
        <v>0.30499999999999999</v>
      </c>
      <c r="AC172">
        <v>0.629</v>
      </c>
      <c r="AD172">
        <v>19</v>
      </c>
      <c r="AE172">
        <v>0.26500000000000001</v>
      </c>
      <c r="AF172">
        <v>0</v>
      </c>
      <c r="AG172">
        <f>(표1[[#This Row],[TB]]-표1[[#This Row],[H]])/표1[[#This Row],[AB]]</f>
        <v>8.8235294117647065E-2</v>
      </c>
      <c r="AH172">
        <f>(표1[[#This Row],[TB]]-표1[[#This Row],[H]]+표1[[#This Row],[BB]]+표1[[#This Row],[SB]]-표1[[#This Row],[CS]])/표1[[#This Row],[AB]]</f>
        <v>0.20320855614973263</v>
      </c>
      <c r="AI172">
        <f>(표1[[#This Row],[TB]]+표1[[#This Row],[BB]]+표1[[#This Row],[HBP]]+표1[[#This Row],[SB]]-표1[[#This Row],[CS]])/(표1[[#This Row],[AB]]-표1[[#This Row],[H]]+표1[[#This Row],[CS]]+표1[[#This Row],[GDP]])</f>
        <v>0.56040268456375841</v>
      </c>
      <c r="AJ17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39.185827505827511</v>
      </c>
      <c r="AK172">
        <f>표1[[#This Row],[RC]]/((표1[[#This Row],[AB]]-표1[[#This Row],[H]]+표1[[#This Row],[SAC]]+표1[[#This Row],[SF]]+표1[[#This Row],[CS]]+표1[[#This Row],[GDP]])/27)</f>
        <v>3.3802471011416699</v>
      </c>
      <c r="AL17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0.28148687350835316</v>
      </c>
      <c r="AM17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40.035999999999987</v>
      </c>
    </row>
    <row r="173" spans="1:39" x14ac:dyDescent="0.3">
      <c r="A173" t="str">
        <f>_xlfn.CONCAT(표1[[#This Row],[Year]],표1[[#This Row],[Player]])</f>
        <v>2006이대호</v>
      </c>
      <c r="B173">
        <v>2006</v>
      </c>
      <c r="C173">
        <v>1</v>
      </c>
      <c r="D173" t="s">
        <v>64</v>
      </c>
      <c r="E173" t="s">
        <v>17</v>
      </c>
      <c r="F173">
        <v>0.33600000000000002</v>
      </c>
      <c r="G173">
        <v>122</v>
      </c>
      <c r="H173">
        <v>499</v>
      </c>
      <c r="I173">
        <v>443</v>
      </c>
      <c r="J173">
        <v>71</v>
      </c>
      <c r="K173">
        <v>149</v>
      </c>
      <c r="L173">
        <f>표1[[#This Row],[H]]-표1[[#This Row],[2B]]-표1[[#This Row],[3B]]-표1[[#This Row],[HR]]</f>
        <v>97</v>
      </c>
      <c r="M173">
        <v>26</v>
      </c>
      <c r="N173">
        <v>0</v>
      </c>
      <c r="O173">
        <v>26</v>
      </c>
      <c r="P173">
        <v>253</v>
      </c>
      <c r="Q173">
        <v>88</v>
      </c>
      <c r="R173">
        <v>0</v>
      </c>
      <c r="S173">
        <v>1</v>
      </c>
      <c r="T173">
        <v>39</v>
      </c>
      <c r="U173">
        <v>5</v>
      </c>
      <c r="V173">
        <v>0</v>
      </c>
      <c r="W173">
        <v>1</v>
      </c>
      <c r="X173">
        <v>16</v>
      </c>
      <c r="Y173">
        <v>55</v>
      </c>
      <c r="Z173">
        <v>11</v>
      </c>
      <c r="AA173">
        <v>0.57099999999999995</v>
      </c>
      <c r="AB173">
        <v>0.40899999999999997</v>
      </c>
      <c r="AC173">
        <v>0.98</v>
      </c>
      <c r="AD173">
        <v>44</v>
      </c>
      <c r="AE173">
        <v>0.38900000000000001</v>
      </c>
      <c r="AF173">
        <v>1</v>
      </c>
      <c r="AG173">
        <f>(표1[[#This Row],[TB]]-표1[[#This Row],[H]])/표1[[#This Row],[AB]]</f>
        <v>0.23476297968397292</v>
      </c>
      <c r="AH173">
        <f>(표1[[#This Row],[TB]]-표1[[#This Row],[H]]+표1[[#This Row],[BB]]+표1[[#This Row],[SB]]-표1[[#This Row],[CS]])/표1[[#This Row],[AB]]</f>
        <v>0.32054176072234764</v>
      </c>
      <c r="AI173">
        <f>(표1[[#This Row],[TB]]+표1[[#This Row],[BB]]+표1[[#This Row],[HBP]]+표1[[#This Row],[SB]]-표1[[#This Row],[CS]])/(표1[[#This Row],[AB]]-표1[[#This Row],[H]]+표1[[#This Row],[CS]]+표1[[#This Row],[GDP]])</f>
        <v>1.0032679738562091</v>
      </c>
      <c r="AJ17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102.54877755511022</v>
      </c>
      <c r="AK173">
        <f>표1[[#This Row],[RC]]/((표1[[#This Row],[AB]]-표1[[#This Row],[H]]+표1[[#This Row],[SAC]]+표1[[#This Row],[SF]]+표1[[#This Row],[CS]]+표1[[#This Row],[GDP]])/27)</f>
        <v>9.0189478631530164</v>
      </c>
      <c r="AL17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0.41899595141700402</v>
      </c>
      <c r="AM17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91.990000000000009</v>
      </c>
    </row>
    <row r="174" spans="1:39" x14ac:dyDescent="0.3">
      <c r="A174" t="str">
        <f>_xlfn.CONCAT(표1[[#This Row],[Year]],표1[[#This Row],[Player]])</f>
        <v>2006이택근</v>
      </c>
      <c r="B174">
        <v>2006</v>
      </c>
      <c r="C174">
        <v>2</v>
      </c>
      <c r="D174" t="s">
        <v>77</v>
      </c>
      <c r="E174" t="s">
        <v>3</v>
      </c>
      <c r="F174">
        <v>0.32200000000000001</v>
      </c>
      <c r="G174">
        <v>118</v>
      </c>
      <c r="H174">
        <v>486</v>
      </c>
      <c r="I174">
        <v>419</v>
      </c>
      <c r="J174">
        <v>58</v>
      </c>
      <c r="K174">
        <v>135</v>
      </c>
      <c r="L174">
        <f>표1[[#This Row],[H]]-표1[[#This Row],[2B]]-표1[[#This Row],[3B]]-표1[[#This Row],[HR]]</f>
        <v>103</v>
      </c>
      <c r="M174">
        <v>21</v>
      </c>
      <c r="N174">
        <v>2</v>
      </c>
      <c r="O174">
        <v>9</v>
      </c>
      <c r="P174">
        <v>187</v>
      </c>
      <c r="Q174">
        <v>66</v>
      </c>
      <c r="R174">
        <v>9</v>
      </c>
      <c r="S174">
        <v>4</v>
      </c>
      <c r="T174">
        <v>45</v>
      </c>
      <c r="U174">
        <v>1</v>
      </c>
      <c r="V174">
        <v>8</v>
      </c>
      <c r="W174">
        <v>6</v>
      </c>
      <c r="X174">
        <v>9</v>
      </c>
      <c r="Y174">
        <v>51</v>
      </c>
      <c r="Z174">
        <v>6</v>
      </c>
      <c r="AA174">
        <v>0.44600000000000001</v>
      </c>
      <c r="AB174">
        <v>0.39600000000000002</v>
      </c>
      <c r="AC174">
        <v>0.84199999999999997</v>
      </c>
      <c r="AD174">
        <v>41</v>
      </c>
      <c r="AE174">
        <v>0.35899999999999999</v>
      </c>
      <c r="AF174">
        <v>0</v>
      </c>
      <c r="AG174">
        <f>(표1[[#This Row],[TB]]-표1[[#This Row],[H]])/표1[[#This Row],[AB]]</f>
        <v>0.12410501193317422</v>
      </c>
      <c r="AH174">
        <f>(표1[[#This Row],[TB]]-표1[[#This Row],[H]]+표1[[#This Row],[BB]]+표1[[#This Row],[SB]]-표1[[#This Row],[CS]])/표1[[#This Row],[AB]]</f>
        <v>0.23627684964200477</v>
      </c>
      <c r="AI174">
        <f>(표1[[#This Row],[TB]]+표1[[#This Row],[BB]]+표1[[#This Row],[HBP]]+표1[[#This Row],[SB]]-표1[[#This Row],[CS]])/(표1[[#This Row],[AB]]-표1[[#This Row],[H]]+표1[[#This Row],[CS]]+표1[[#This Row],[GDP]])</f>
        <v>0.82094594594594594</v>
      </c>
      <c r="AJ17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77.100617283950626</v>
      </c>
      <c r="AK174">
        <f>표1[[#This Row],[RC]]/((표1[[#This Row],[AB]]-표1[[#This Row],[H]]+표1[[#This Row],[SAC]]+표1[[#This Row],[SF]]+표1[[#This Row],[CS]]+표1[[#This Row],[GDP]])/27)</f>
        <v>6.7369471413160742</v>
      </c>
      <c r="AL17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0.3698718487394958</v>
      </c>
      <c r="AM17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73.10199999999999</v>
      </c>
    </row>
    <row r="175" spans="1:39" x14ac:dyDescent="0.3">
      <c r="A175" t="str">
        <f>_xlfn.CONCAT(표1[[#This Row],[Year]],표1[[#This Row],[Player]])</f>
        <v>2006이용규</v>
      </c>
      <c r="B175">
        <v>2006</v>
      </c>
      <c r="C175">
        <v>3</v>
      </c>
      <c r="D175" t="s">
        <v>74</v>
      </c>
      <c r="E175" t="s">
        <v>13</v>
      </c>
      <c r="F175">
        <v>0.318</v>
      </c>
      <c r="G175">
        <v>125</v>
      </c>
      <c r="H175">
        <v>552</v>
      </c>
      <c r="I175">
        <v>485</v>
      </c>
      <c r="J175">
        <v>78</v>
      </c>
      <c r="K175">
        <v>154</v>
      </c>
      <c r="L175">
        <f>표1[[#This Row],[H]]-표1[[#This Row],[2B]]-표1[[#This Row],[3B]]-표1[[#This Row],[HR]]</f>
        <v>119</v>
      </c>
      <c r="M175">
        <v>25</v>
      </c>
      <c r="N175">
        <v>9</v>
      </c>
      <c r="O175">
        <v>1</v>
      </c>
      <c r="P175">
        <v>200</v>
      </c>
      <c r="Q175">
        <v>39</v>
      </c>
      <c r="R175">
        <v>7</v>
      </c>
      <c r="S175">
        <v>1</v>
      </c>
      <c r="T175">
        <v>50</v>
      </c>
      <c r="U175">
        <v>3</v>
      </c>
      <c r="V175">
        <v>38</v>
      </c>
      <c r="W175">
        <v>11</v>
      </c>
      <c r="X175">
        <v>9</v>
      </c>
      <c r="Y175">
        <v>48</v>
      </c>
      <c r="Z175">
        <v>6</v>
      </c>
      <c r="AA175">
        <v>0.41199999999999998</v>
      </c>
      <c r="AB175">
        <v>0.39100000000000001</v>
      </c>
      <c r="AC175">
        <v>0.80300000000000005</v>
      </c>
      <c r="AD175">
        <v>46</v>
      </c>
      <c r="AE175">
        <v>0.25</v>
      </c>
      <c r="AF175">
        <v>0</v>
      </c>
      <c r="AG175">
        <f>(표1[[#This Row],[TB]]-표1[[#This Row],[H]])/표1[[#This Row],[AB]]</f>
        <v>9.4845360824742264E-2</v>
      </c>
      <c r="AH175">
        <f>(표1[[#This Row],[TB]]-표1[[#This Row],[H]]+표1[[#This Row],[BB]]+표1[[#This Row],[SB]]-표1[[#This Row],[CS]])/표1[[#This Row],[AB]]</f>
        <v>0.2536082474226804</v>
      </c>
      <c r="AI175">
        <f>(표1[[#This Row],[TB]]+표1[[#This Row],[BB]]+표1[[#This Row],[HBP]]+표1[[#This Row],[SB]]-표1[[#This Row],[CS]])/(표1[[#This Row],[AB]]-표1[[#This Row],[H]]+표1[[#This Row],[CS]]+표1[[#This Row],[GDP]])</f>
        <v>0.82183908045977017</v>
      </c>
      <c r="AJ17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84.677681159420288</v>
      </c>
      <c r="AK175">
        <f>표1[[#This Row],[RC]]/((표1[[#This Row],[AB]]-표1[[#This Row],[H]]+표1[[#This Row],[SAC]]+표1[[#This Row],[SF]]+표1[[#This Row],[CS]]+표1[[#This Row],[GDP]])/27)</f>
        <v>6.4221836834391794</v>
      </c>
      <c r="AL17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0.35422693726937265</v>
      </c>
      <c r="AM17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79.666000000000025</v>
      </c>
    </row>
    <row r="176" spans="1:39" x14ac:dyDescent="0.3">
      <c r="A176" t="str">
        <f>_xlfn.CONCAT(표1[[#This Row],[Year]],표1[[#This Row],[Player]])</f>
        <v>2006장성호</v>
      </c>
      <c r="B176">
        <v>2006</v>
      </c>
      <c r="C176">
        <v>4</v>
      </c>
      <c r="D176" t="s">
        <v>12</v>
      </c>
      <c r="E176" t="s">
        <v>13</v>
      </c>
      <c r="F176">
        <v>0.30599999999999999</v>
      </c>
      <c r="G176">
        <v>126</v>
      </c>
      <c r="H176">
        <v>540</v>
      </c>
      <c r="I176">
        <v>445</v>
      </c>
      <c r="J176">
        <v>62</v>
      </c>
      <c r="K176">
        <v>136</v>
      </c>
      <c r="L176">
        <f>표1[[#This Row],[H]]-표1[[#This Row],[2B]]-표1[[#This Row],[3B]]-표1[[#This Row],[HR]]</f>
        <v>97</v>
      </c>
      <c r="M176">
        <v>24</v>
      </c>
      <c r="N176">
        <v>2</v>
      </c>
      <c r="O176">
        <v>13</v>
      </c>
      <c r="P176">
        <v>203</v>
      </c>
      <c r="Q176">
        <v>79</v>
      </c>
      <c r="R176">
        <v>3</v>
      </c>
      <c r="S176">
        <v>6</v>
      </c>
      <c r="T176">
        <v>83</v>
      </c>
      <c r="U176">
        <v>10</v>
      </c>
      <c r="V176">
        <v>6</v>
      </c>
      <c r="W176">
        <v>3</v>
      </c>
      <c r="X176">
        <v>3</v>
      </c>
      <c r="Y176">
        <v>38</v>
      </c>
      <c r="Z176">
        <v>5</v>
      </c>
      <c r="AA176">
        <v>0.45600000000000002</v>
      </c>
      <c r="AB176">
        <v>0.41299999999999998</v>
      </c>
      <c r="AC176">
        <v>0.86899999999999999</v>
      </c>
      <c r="AD176">
        <v>37</v>
      </c>
      <c r="AE176">
        <v>0.32800000000000001</v>
      </c>
      <c r="AF176">
        <v>0</v>
      </c>
      <c r="AG176">
        <f>(표1[[#This Row],[TB]]-표1[[#This Row],[H]])/표1[[#This Row],[AB]]</f>
        <v>0.15056179775280898</v>
      </c>
      <c r="AH176">
        <f>(표1[[#This Row],[TB]]-표1[[#This Row],[H]]+표1[[#This Row],[BB]]+표1[[#This Row],[SB]]-표1[[#This Row],[CS]])/표1[[#This Row],[AB]]</f>
        <v>0.34382022471910112</v>
      </c>
      <c r="AI176">
        <f>(표1[[#This Row],[TB]]+표1[[#This Row],[BB]]+표1[[#This Row],[HBP]]+표1[[#This Row],[SB]]-표1[[#This Row],[CS]])/(표1[[#This Row],[AB]]-표1[[#This Row],[H]]+표1[[#This Row],[CS]]+표1[[#This Row],[GDP]])</f>
        <v>0.92113564668769721</v>
      </c>
      <c r="AJ17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91.370074074074083</v>
      </c>
      <c r="AK176">
        <f>표1[[#This Row],[RC]]/((표1[[#This Row],[AB]]-표1[[#This Row],[H]]+표1[[#This Row],[SAC]]+표1[[#This Row],[SF]]+표1[[#This Row],[CS]]+표1[[#This Row],[GDP]])/27)</f>
        <v>7.5674601226993872</v>
      </c>
      <c r="AL17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0.37659392789373813</v>
      </c>
      <c r="AM17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87.416000000000011</v>
      </c>
    </row>
    <row r="177" spans="1:39" x14ac:dyDescent="0.3">
      <c r="A177" t="str">
        <f>_xlfn.CONCAT(표1[[#This Row],[Year]],표1[[#This Row],[Player]])</f>
        <v>2006양준혁</v>
      </c>
      <c r="B177">
        <v>2006</v>
      </c>
      <c r="C177">
        <v>5</v>
      </c>
      <c r="D177" t="s">
        <v>5</v>
      </c>
      <c r="E177" t="s">
        <v>6</v>
      </c>
      <c r="F177">
        <v>0.30299999999999999</v>
      </c>
      <c r="G177">
        <v>126</v>
      </c>
      <c r="H177">
        <v>533</v>
      </c>
      <c r="I177">
        <v>413</v>
      </c>
      <c r="J177">
        <v>63</v>
      </c>
      <c r="K177">
        <v>125</v>
      </c>
      <c r="L177">
        <f>표1[[#This Row],[H]]-표1[[#This Row],[2B]]-표1[[#This Row],[3B]]-표1[[#This Row],[HR]]</f>
        <v>80</v>
      </c>
      <c r="M177">
        <v>31</v>
      </c>
      <c r="N177">
        <v>1</v>
      </c>
      <c r="O177">
        <v>13</v>
      </c>
      <c r="P177">
        <v>197</v>
      </c>
      <c r="Q177">
        <v>81</v>
      </c>
      <c r="R177">
        <v>1</v>
      </c>
      <c r="S177">
        <v>7</v>
      </c>
      <c r="T177">
        <v>103</v>
      </c>
      <c r="U177">
        <v>10</v>
      </c>
      <c r="V177">
        <v>12</v>
      </c>
      <c r="W177">
        <v>7</v>
      </c>
      <c r="X177">
        <v>9</v>
      </c>
      <c r="Y177">
        <v>43</v>
      </c>
      <c r="Z177">
        <v>11</v>
      </c>
      <c r="AA177">
        <v>0.47699999999999998</v>
      </c>
      <c r="AB177">
        <v>0.44500000000000001</v>
      </c>
      <c r="AC177">
        <v>0.92200000000000004</v>
      </c>
      <c r="AD177">
        <v>33</v>
      </c>
      <c r="AE177">
        <v>0.375</v>
      </c>
      <c r="AF177">
        <v>0.75</v>
      </c>
      <c r="AG177">
        <f>(표1[[#This Row],[TB]]-표1[[#This Row],[H]])/표1[[#This Row],[AB]]</f>
        <v>0.17433414043583534</v>
      </c>
      <c r="AH177">
        <f>(표1[[#This Row],[TB]]-표1[[#This Row],[H]]+표1[[#This Row],[BB]]+표1[[#This Row],[SB]]-표1[[#This Row],[CS]])/표1[[#This Row],[AB]]</f>
        <v>0.43583535108958837</v>
      </c>
      <c r="AI177">
        <f>(표1[[#This Row],[TB]]+표1[[#This Row],[BB]]+표1[[#This Row],[HBP]]+표1[[#This Row],[SB]]-표1[[#This Row],[CS]])/(표1[[#This Row],[AB]]-표1[[#This Row],[H]]+표1[[#This Row],[CS]]+표1[[#This Row],[GDP]])</f>
        <v>1.0261437908496731</v>
      </c>
      <c r="AJ17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96.113470919324584</v>
      </c>
      <c r="AK177">
        <f>표1[[#This Row],[RC]]/((표1[[#This Row],[AB]]-표1[[#This Row],[H]]+표1[[#This Row],[SAC]]+표1[[#This Row],[SF]]+표1[[#This Row],[CS]]+표1[[#This Row],[GDP]])/27)</f>
        <v>8.2645341236361904</v>
      </c>
      <c r="AL17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0.39999042145593861</v>
      </c>
      <c r="AM17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91.476000000000013</v>
      </c>
    </row>
    <row r="178" spans="1:39" x14ac:dyDescent="0.3">
      <c r="A178" t="str">
        <f>_xlfn.CONCAT(표1[[#This Row],[Year]],표1[[#This Row],[Player]])</f>
        <v>2006이병규</v>
      </c>
      <c r="B178">
        <v>2006</v>
      </c>
      <c r="C178">
        <v>6</v>
      </c>
      <c r="D178" t="s">
        <v>50</v>
      </c>
      <c r="E178" t="s">
        <v>36</v>
      </c>
      <c r="F178">
        <v>0.29699999999999999</v>
      </c>
      <c r="G178">
        <v>120</v>
      </c>
      <c r="H178">
        <v>515</v>
      </c>
      <c r="I178">
        <v>478</v>
      </c>
      <c r="J178">
        <v>51</v>
      </c>
      <c r="K178">
        <v>142</v>
      </c>
      <c r="L178">
        <f>표1[[#This Row],[H]]-표1[[#This Row],[2B]]-표1[[#This Row],[3B]]-표1[[#This Row],[HR]]</f>
        <v>105</v>
      </c>
      <c r="M178">
        <v>29</v>
      </c>
      <c r="N178">
        <v>1</v>
      </c>
      <c r="O178">
        <v>7</v>
      </c>
      <c r="P178">
        <v>194</v>
      </c>
      <c r="Q178">
        <v>55</v>
      </c>
      <c r="R178">
        <v>1</v>
      </c>
      <c r="S178">
        <v>1</v>
      </c>
      <c r="T178">
        <v>31</v>
      </c>
      <c r="U178">
        <v>5</v>
      </c>
      <c r="V178">
        <v>3</v>
      </c>
      <c r="W178">
        <v>2</v>
      </c>
      <c r="X178">
        <v>4</v>
      </c>
      <c r="Y178">
        <v>65</v>
      </c>
      <c r="Z178">
        <v>8</v>
      </c>
      <c r="AA178">
        <v>0.40600000000000003</v>
      </c>
      <c r="AB178">
        <v>0.34399999999999997</v>
      </c>
      <c r="AC178">
        <v>0.75</v>
      </c>
      <c r="AD178">
        <v>46</v>
      </c>
      <c r="AE178">
        <v>0.29799999999999999</v>
      </c>
      <c r="AF178">
        <v>0</v>
      </c>
      <c r="AG178">
        <f>(표1[[#This Row],[TB]]-표1[[#This Row],[H]])/표1[[#This Row],[AB]]</f>
        <v>0.10878661087866109</v>
      </c>
      <c r="AH178">
        <f>(표1[[#This Row],[TB]]-표1[[#This Row],[H]]+표1[[#This Row],[BB]]+표1[[#This Row],[SB]]-표1[[#This Row],[CS]])/표1[[#This Row],[AB]]</f>
        <v>0.17573221757322174</v>
      </c>
      <c r="AI178">
        <f>(표1[[#This Row],[TB]]+표1[[#This Row],[BB]]+표1[[#This Row],[HBP]]+표1[[#This Row],[SB]]-표1[[#This Row],[CS]])/(표1[[#This Row],[AB]]-표1[[#This Row],[H]]+표1[[#This Row],[CS]]+표1[[#This Row],[GDP]])</f>
        <v>0.66473988439306353</v>
      </c>
      <c r="AJ17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66.281165048543699</v>
      </c>
      <c r="AK178">
        <f>표1[[#This Row],[RC]]/((표1[[#This Row],[AB]]-표1[[#This Row],[H]]+표1[[#This Row],[SAC]]+표1[[#This Row],[SF]]+표1[[#This Row],[CS]]+표1[[#This Row],[GDP]])/27)</f>
        <v>5.1425041848008037</v>
      </c>
      <c r="AL17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0.32637721021611005</v>
      </c>
      <c r="AM17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62.54</v>
      </c>
    </row>
    <row r="179" spans="1:39" x14ac:dyDescent="0.3">
      <c r="A179" t="str">
        <f>_xlfn.CONCAT(표1[[#This Row],[Year]],표1[[#This Row],[Player]])</f>
        <v>2006박용택</v>
      </c>
      <c r="B179">
        <v>2006</v>
      </c>
      <c r="C179">
        <v>7</v>
      </c>
      <c r="D179" t="s">
        <v>42</v>
      </c>
      <c r="E179" t="s">
        <v>36</v>
      </c>
      <c r="F179">
        <v>0.29399999999999998</v>
      </c>
      <c r="G179">
        <v>126</v>
      </c>
      <c r="H179">
        <v>534</v>
      </c>
      <c r="I179">
        <v>476</v>
      </c>
      <c r="J179">
        <v>69</v>
      </c>
      <c r="K179">
        <v>140</v>
      </c>
      <c r="L179">
        <f>표1[[#This Row],[H]]-표1[[#This Row],[2B]]-표1[[#This Row],[3B]]-표1[[#This Row],[HR]]</f>
        <v>95</v>
      </c>
      <c r="M179">
        <v>26</v>
      </c>
      <c r="N179">
        <v>3</v>
      </c>
      <c r="O179">
        <v>16</v>
      </c>
      <c r="P179">
        <v>220</v>
      </c>
      <c r="Q179">
        <v>64</v>
      </c>
      <c r="R179">
        <v>1</v>
      </c>
      <c r="S179">
        <v>4</v>
      </c>
      <c r="T179">
        <v>50</v>
      </c>
      <c r="U179">
        <v>6</v>
      </c>
      <c r="V179">
        <v>25</v>
      </c>
      <c r="W179">
        <v>3</v>
      </c>
      <c r="X179">
        <v>2</v>
      </c>
      <c r="Y179">
        <v>93</v>
      </c>
      <c r="Z179">
        <v>7</v>
      </c>
      <c r="AA179">
        <v>0.46200000000000002</v>
      </c>
      <c r="AB179">
        <v>0.36099999999999999</v>
      </c>
      <c r="AC179">
        <v>0.82299999999999995</v>
      </c>
      <c r="AD179">
        <v>37</v>
      </c>
      <c r="AE179">
        <v>0.23599999999999999</v>
      </c>
      <c r="AF179">
        <v>0.5</v>
      </c>
      <c r="AG179">
        <f>(표1[[#This Row],[TB]]-표1[[#This Row],[H]])/표1[[#This Row],[AB]]</f>
        <v>0.16806722689075632</v>
      </c>
      <c r="AH179">
        <f>(표1[[#This Row],[TB]]-표1[[#This Row],[H]]+표1[[#This Row],[BB]]+표1[[#This Row],[SB]]-표1[[#This Row],[CS]])/표1[[#This Row],[AB]]</f>
        <v>0.31932773109243695</v>
      </c>
      <c r="AI179">
        <f>(표1[[#This Row],[TB]]+표1[[#This Row],[BB]]+표1[[#This Row],[HBP]]+표1[[#This Row],[SB]]-표1[[#This Row],[CS]])/(표1[[#This Row],[AB]]-표1[[#This Row],[H]]+표1[[#This Row],[CS]]+표1[[#This Row],[GDP]])</f>
        <v>0.8497109826589595</v>
      </c>
      <c r="AJ17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84.532682926829267</v>
      </c>
      <c r="AK179">
        <f>표1[[#This Row],[RC]]/((표1[[#This Row],[AB]]-표1[[#This Row],[H]]+표1[[#This Row],[SAC]]+표1[[#This Row],[SF]]+표1[[#This Row],[CS]]+표1[[#This Row],[GDP]])/27)</f>
        <v>6.5025140712945593</v>
      </c>
      <c r="AL17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0.3540247148288973</v>
      </c>
      <c r="AM17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81.006</v>
      </c>
    </row>
    <row r="180" spans="1:39" x14ac:dyDescent="0.3">
      <c r="A180" t="str">
        <f>_xlfn.CONCAT(표1[[#This Row],[Year]],표1[[#This Row],[Player]])</f>
        <v>2006정성훈</v>
      </c>
      <c r="B180">
        <v>2006</v>
      </c>
      <c r="C180">
        <v>8</v>
      </c>
      <c r="D180" t="s">
        <v>61</v>
      </c>
      <c r="E180" t="s">
        <v>3</v>
      </c>
      <c r="F180">
        <v>0.29099999999999998</v>
      </c>
      <c r="G180">
        <v>122</v>
      </c>
      <c r="H180">
        <v>492</v>
      </c>
      <c r="I180">
        <v>416</v>
      </c>
      <c r="J180">
        <v>56</v>
      </c>
      <c r="K180">
        <v>121</v>
      </c>
      <c r="L180">
        <f>표1[[#This Row],[H]]-표1[[#This Row],[2B]]-표1[[#This Row],[3B]]-표1[[#This Row],[HR]]</f>
        <v>82</v>
      </c>
      <c r="M180">
        <v>26</v>
      </c>
      <c r="N180">
        <v>0</v>
      </c>
      <c r="O180">
        <v>13</v>
      </c>
      <c r="P180">
        <v>186</v>
      </c>
      <c r="Q180">
        <v>66</v>
      </c>
      <c r="R180">
        <v>12</v>
      </c>
      <c r="S180">
        <v>8</v>
      </c>
      <c r="T180">
        <v>49</v>
      </c>
      <c r="U180">
        <v>4</v>
      </c>
      <c r="V180">
        <v>3</v>
      </c>
      <c r="W180">
        <v>4</v>
      </c>
      <c r="X180">
        <v>7</v>
      </c>
      <c r="Y180">
        <v>43</v>
      </c>
      <c r="Z180">
        <v>15</v>
      </c>
      <c r="AA180">
        <v>0.44700000000000001</v>
      </c>
      <c r="AB180">
        <v>0.36899999999999999</v>
      </c>
      <c r="AC180">
        <v>0.81599999999999995</v>
      </c>
      <c r="AD180">
        <v>29</v>
      </c>
      <c r="AE180">
        <v>0.3</v>
      </c>
      <c r="AF180">
        <v>0</v>
      </c>
      <c r="AG180">
        <f>(표1[[#This Row],[TB]]-표1[[#This Row],[H]])/표1[[#This Row],[AB]]</f>
        <v>0.15625</v>
      </c>
      <c r="AH180">
        <f>(표1[[#This Row],[TB]]-표1[[#This Row],[H]]+표1[[#This Row],[BB]]+표1[[#This Row],[SB]]-표1[[#This Row],[CS]])/표1[[#This Row],[AB]]</f>
        <v>0.27163461538461536</v>
      </c>
      <c r="AI180">
        <f>(표1[[#This Row],[TB]]+표1[[#This Row],[BB]]+표1[[#This Row],[HBP]]+표1[[#This Row],[SB]]-표1[[#This Row],[CS]])/(표1[[#This Row],[AB]]-표1[[#This Row],[H]]+표1[[#This Row],[CS]]+표1[[#This Row],[GDP]])</f>
        <v>0.76751592356687903</v>
      </c>
      <c r="AJ18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67.914308943089438</v>
      </c>
      <c r="AK180">
        <f>표1[[#This Row],[RC]]/((표1[[#This Row],[AB]]-표1[[#This Row],[H]]+표1[[#This Row],[SAC]]+표1[[#This Row],[SF]]+표1[[#This Row],[CS]]+표1[[#This Row],[GDP]])/27)</f>
        <v>5.4900788666569307</v>
      </c>
      <c r="AL18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0.35309453781512601</v>
      </c>
      <c r="AM18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67.376000000000005</v>
      </c>
    </row>
    <row r="181" spans="1:39" x14ac:dyDescent="0.3">
      <c r="A181" t="str">
        <f>_xlfn.CONCAT(표1[[#This Row],[Year]],표1[[#This Row],[Player]])</f>
        <v>2006김태균</v>
      </c>
      <c r="B181">
        <v>2006</v>
      </c>
      <c r="C181">
        <v>9</v>
      </c>
      <c r="D181" t="s">
        <v>10</v>
      </c>
      <c r="E181" t="s">
        <v>11</v>
      </c>
      <c r="F181">
        <v>0.29099999999999998</v>
      </c>
      <c r="G181">
        <v>124</v>
      </c>
      <c r="H181">
        <v>511</v>
      </c>
      <c r="I181">
        <v>423</v>
      </c>
      <c r="J181">
        <v>66</v>
      </c>
      <c r="K181">
        <v>123</v>
      </c>
      <c r="L181">
        <f>표1[[#This Row],[H]]-표1[[#This Row],[2B]]-표1[[#This Row],[3B]]-표1[[#This Row],[HR]]</f>
        <v>83</v>
      </c>
      <c r="M181">
        <v>27</v>
      </c>
      <c r="N181">
        <v>0</v>
      </c>
      <c r="O181">
        <v>13</v>
      </c>
      <c r="P181">
        <v>189</v>
      </c>
      <c r="Q181">
        <v>73</v>
      </c>
      <c r="R181">
        <v>0</v>
      </c>
      <c r="S181">
        <v>4</v>
      </c>
      <c r="T181">
        <v>82</v>
      </c>
      <c r="U181">
        <v>1</v>
      </c>
      <c r="V181">
        <v>2</v>
      </c>
      <c r="W181">
        <v>0</v>
      </c>
      <c r="X181">
        <v>2</v>
      </c>
      <c r="Y181">
        <v>89</v>
      </c>
      <c r="Z181">
        <v>18</v>
      </c>
      <c r="AA181">
        <v>0.44700000000000001</v>
      </c>
      <c r="AB181">
        <v>0.40500000000000003</v>
      </c>
      <c r="AC181">
        <v>0.85199999999999998</v>
      </c>
      <c r="AD181">
        <v>32</v>
      </c>
      <c r="AE181">
        <v>0.30599999999999999</v>
      </c>
      <c r="AF181">
        <v>0.5</v>
      </c>
      <c r="AG181">
        <f>(표1[[#This Row],[TB]]-표1[[#This Row],[H]])/표1[[#This Row],[AB]]</f>
        <v>0.15602836879432624</v>
      </c>
      <c r="AH181">
        <f>(표1[[#This Row],[TB]]-표1[[#This Row],[H]]+표1[[#This Row],[BB]]+표1[[#This Row],[SB]]-표1[[#This Row],[CS]])/표1[[#This Row],[AB]]</f>
        <v>0.3546099290780142</v>
      </c>
      <c r="AI181">
        <f>(표1[[#This Row],[TB]]+표1[[#This Row],[BB]]+표1[[#This Row],[HBP]]+표1[[#This Row],[SB]]-표1[[#This Row],[CS]])/(표1[[#This Row],[AB]]-표1[[#This Row],[H]]+표1[[#This Row],[CS]]+표1[[#This Row],[GDP]])</f>
        <v>0.86477987421383651</v>
      </c>
      <c r="AJ18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79.039726027397265</v>
      </c>
      <c r="AK181">
        <f>표1[[#This Row],[RC]]/((표1[[#This Row],[AB]]-표1[[#This Row],[H]]+표1[[#This Row],[SAC]]+표1[[#This Row],[SF]]+표1[[#This Row],[CS]]+표1[[#This Row],[GDP]])/27)</f>
        <v>6.6275546668935599</v>
      </c>
      <c r="AL18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0.37545098039215685</v>
      </c>
      <c r="AM18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75.598000000000013</v>
      </c>
    </row>
    <row r="182" spans="1:39" x14ac:dyDescent="0.3">
      <c r="A182" t="str">
        <f>_xlfn.CONCAT(표1[[#This Row],[Year]],표1[[#This Row],[Player]])</f>
        <v>2006진갑용</v>
      </c>
      <c r="B182">
        <v>2006</v>
      </c>
      <c r="C182">
        <v>10</v>
      </c>
      <c r="D182" t="s">
        <v>26</v>
      </c>
      <c r="E182" t="s">
        <v>6</v>
      </c>
      <c r="F182">
        <v>0.28799999999999998</v>
      </c>
      <c r="G182">
        <v>110</v>
      </c>
      <c r="H182">
        <v>408</v>
      </c>
      <c r="I182">
        <v>358</v>
      </c>
      <c r="J182">
        <v>28</v>
      </c>
      <c r="K182">
        <v>103</v>
      </c>
      <c r="L182">
        <f>표1[[#This Row],[H]]-표1[[#This Row],[2B]]-표1[[#This Row],[3B]]-표1[[#This Row],[HR]]</f>
        <v>75</v>
      </c>
      <c r="M182">
        <v>22</v>
      </c>
      <c r="N182">
        <v>0</v>
      </c>
      <c r="O182">
        <v>6</v>
      </c>
      <c r="P182">
        <v>143</v>
      </c>
      <c r="Q182">
        <v>47</v>
      </c>
      <c r="R182">
        <v>9</v>
      </c>
      <c r="S182">
        <v>7</v>
      </c>
      <c r="T182">
        <v>29</v>
      </c>
      <c r="U182">
        <v>0</v>
      </c>
      <c r="V182">
        <v>1</v>
      </c>
      <c r="W182">
        <v>2</v>
      </c>
      <c r="X182">
        <v>5</v>
      </c>
      <c r="Y182">
        <v>37</v>
      </c>
      <c r="Z182">
        <v>18</v>
      </c>
      <c r="AA182">
        <v>0.39900000000000002</v>
      </c>
      <c r="AB182">
        <v>0.34300000000000003</v>
      </c>
      <c r="AC182">
        <v>0.74199999999999999</v>
      </c>
      <c r="AD182">
        <v>21</v>
      </c>
      <c r="AE182">
        <v>0.28699999999999998</v>
      </c>
      <c r="AF182">
        <v>0</v>
      </c>
      <c r="AG182">
        <f>(표1[[#This Row],[TB]]-표1[[#This Row],[H]])/표1[[#This Row],[AB]]</f>
        <v>0.11173184357541899</v>
      </c>
      <c r="AH182">
        <f>(표1[[#This Row],[TB]]-표1[[#This Row],[H]]+표1[[#This Row],[BB]]+표1[[#This Row],[SB]]-표1[[#This Row],[CS]])/표1[[#This Row],[AB]]</f>
        <v>0.18994413407821228</v>
      </c>
      <c r="AI182">
        <f>(표1[[#This Row],[TB]]+표1[[#This Row],[BB]]+표1[[#This Row],[HBP]]+표1[[#This Row],[SB]]-표1[[#This Row],[CS]])/(표1[[#This Row],[AB]]-표1[[#This Row],[H]]+표1[[#This Row],[CS]]+표1[[#This Row],[GDP]])</f>
        <v>0.64</v>
      </c>
      <c r="AJ18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46.077352941176471</v>
      </c>
      <c r="AK182">
        <f>표1[[#This Row],[RC]]/((표1[[#This Row],[AB]]-표1[[#This Row],[H]]+표1[[#This Row],[SAC]]+표1[[#This Row],[SF]]+표1[[#This Row],[CS]]+표1[[#This Row],[GDP]])/27)</f>
        <v>4.2752183141297753</v>
      </c>
      <c r="AL18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0.32569172932330825</v>
      </c>
      <c r="AM18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46.124000000000009</v>
      </c>
    </row>
    <row r="183" spans="1:39" x14ac:dyDescent="0.3">
      <c r="A183" t="str">
        <f>_xlfn.CONCAT(표1[[#This Row],[Year]],표1[[#This Row],[Player]])</f>
        <v>2006홍성흔</v>
      </c>
      <c r="B183">
        <v>2006</v>
      </c>
      <c r="C183">
        <v>11</v>
      </c>
      <c r="D183" t="s">
        <v>49</v>
      </c>
      <c r="E183" t="s">
        <v>1</v>
      </c>
      <c r="F183">
        <v>0.28699999999999998</v>
      </c>
      <c r="G183">
        <v>119</v>
      </c>
      <c r="H183">
        <v>424</v>
      </c>
      <c r="I183">
        <v>390</v>
      </c>
      <c r="J183">
        <v>36</v>
      </c>
      <c r="K183">
        <v>112</v>
      </c>
      <c r="L183">
        <f>표1[[#This Row],[H]]-표1[[#This Row],[2B]]-표1[[#This Row],[3B]]-표1[[#This Row],[HR]]</f>
        <v>86</v>
      </c>
      <c r="M183">
        <v>16</v>
      </c>
      <c r="N183">
        <v>0</v>
      </c>
      <c r="O183">
        <v>10</v>
      </c>
      <c r="P183">
        <v>158</v>
      </c>
      <c r="Q183">
        <v>56</v>
      </c>
      <c r="R183">
        <v>2</v>
      </c>
      <c r="S183">
        <v>2</v>
      </c>
      <c r="T183">
        <v>26</v>
      </c>
      <c r="U183">
        <v>1</v>
      </c>
      <c r="V183">
        <v>1</v>
      </c>
      <c r="W183">
        <v>1</v>
      </c>
      <c r="X183">
        <v>4</v>
      </c>
      <c r="Y183">
        <v>49</v>
      </c>
      <c r="Z183">
        <v>10</v>
      </c>
      <c r="AA183">
        <v>0.40500000000000003</v>
      </c>
      <c r="AB183">
        <v>0.33600000000000002</v>
      </c>
      <c r="AC183">
        <v>0.74099999999999999</v>
      </c>
      <c r="AD183">
        <v>31</v>
      </c>
      <c r="AE183">
        <v>0.314</v>
      </c>
      <c r="AF183">
        <v>0.25</v>
      </c>
      <c r="AG183">
        <f>(표1[[#This Row],[TB]]-표1[[#This Row],[H]])/표1[[#This Row],[AB]]</f>
        <v>0.11794871794871795</v>
      </c>
      <c r="AH183">
        <f>(표1[[#This Row],[TB]]-표1[[#This Row],[H]]+표1[[#This Row],[BB]]+표1[[#This Row],[SB]]-표1[[#This Row],[CS]])/표1[[#This Row],[AB]]</f>
        <v>0.18461538461538463</v>
      </c>
      <c r="AI183">
        <f>(표1[[#This Row],[TB]]+표1[[#This Row],[BB]]+표1[[#This Row],[HBP]]+표1[[#This Row],[SB]]-표1[[#This Row],[CS]])/(표1[[#This Row],[AB]]-표1[[#This Row],[H]]+표1[[#This Row],[CS]]+표1[[#This Row],[GDP]])</f>
        <v>0.65051903114186849</v>
      </c>
      <c r="AJ18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51.948915094339611</v>
      </c>
      <c r="AK183">
        <f>표1[[#This Row],[RC]]/((표1[[#This Row],[AB]]-표1[[#This Row],[H]]+표1[[#This Row],[SAC]]+표1[[#This Row],[SF]]+표1[[#This Row],[CS]]+표1[[#This Row],[GDP]])/27)</f>
        <v>4.7871013909459714</v>
      </c>
      <c r="AL18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0.32512826603325412</v>
      </c>
      <c r="AM18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50.597999999999992</v>
      </c>
    </row>
    <row r="184" spans="1:39" x14ac:dyDescent="0.3">
      <c r="A184" t="str">
        <f>_xlfn.CONCAT(표1[[#This Row],[Year]],표1[[#This Row],[Player]])</f>
        <v>2006김재현</v>
      </c>
      <c r="B184">
        <v>2006</v>
      </c>
      <c r="C184">
        <v>12</v>
      </c>
      <c r="D184" t="s">
        <v>54</v>
      </c>
      <c r="E184" t="s">
        <v>8</v>
      </c>
      <c r="F184">
        <v>0.28699999999999998</v>
      </c>
      <c r="G184">
        <v>109</v>
      </c>
      <c r="H184">
        <v>441</v>
      </c>
      <c r="I184">
        <v>356</v>
      </c>
      <c r="J184">
        <v>42</v>
      </c>
      <c r="K184">
        <v>102</v>
      </c>
      <c r="L184">
        <f>표1[[#This Row],[H]]-표1[[#This Row],[2B]]-표1[[#This Row],[3B]]-표1[[#This Row],[HR]]</f>
        <v>77</v>
      </c>
      <c r="M184">
        <v>16</v>
      </c>
      <c r="N184">
        <v>1</v>
      </c>
      <c r="O184">
        <v>8</v>
      </c>
      <c r="P184">
        <v>144</v>
      </c>
      <c r="Q184">
        <v>51</v>
      </c>
      <c r="R184">
        <v>1</v>
      </c>
      <c r="S184">
        <v>2</v>
      </c>
      <c r="T184">
        <v>76</v>
      </c>
      <c r="U184">
        <v>3</v>
      </c>
      <c r="V184">
        <v>5</v>
      </c>
      <c r="W184">
        <v>2</v>
      </c>
      <c r="X184">
        <v>6</v>
      </c>
      <c r="Y184">
        <v>56</v>
      </c>
      <c r="Z184">
        <v>10</v>
      </c>
      <c r="AA184">
        <v>0.40400000000000003</v>
      </c>
      <c r="AB184">
        <v>0.41799999999999998</v>
      </c>
      <c r="AC184">
        <v>0.82199999999999995</v>
      </c>
      <c r="AD184">
        <v>22</v>
      </c>
      <c r="AE184">
        <v>0.32</v>
      </c>
      <c r="AF184">
        <v>0.6</v>
      </c>
      <c r="AG184">
        <f>(표1[[#This Row],[TB]]-표1[[#This Row],[H]])/표1[[#This Row],[AB]]</f>
        <v>0.11797752808988764</v>
      </c>
      <c r="AH184">
        <f>(표1[[#This Row],[TB]]-표1[[#This Row],[H]]+표1[[#This Row],[BB]]+표1[[#This Row],[SB]]-표1[[#This Row],[CS]])/표1[[#This Row],[AB]]</f>
        <v>0.3398876404494382</v>
      </c>
      <c r="AI184">
        <f>(표1[[#This Row],[TB]]+표1[[#This Row],[BB]]+표1[[#This Row],[HBP]]+표1[[#This Row],[SB]]-표1[[#This Row],[CS]])/(표1[[#This Row],[AB]]-표1[[#This Row],[H]]+표1[[#This Row],[CS]]+표1[[#This Row],[GDP]])</f>
        <v>0.86090225563909772</v>
      </c>
      <c r="AJ18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65.796825396825398</v>
      </c>
      <c r="AK184">
        <f>표1[[#This Row],[RC]]/((표1[[#This Row],[AB]]-표1[[#This Row],[H]]+표1[[#This Row],[SAC]]+표1[[#This Row],[SF]]+표1[[#This Row],[CS]]+표1[[#This Row],[GDP]])/27)</f>
        <v>6.6041423260754115</v>
      </c>
      <c r="AL18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0.36844851258581229</v>
      </c>
      <c r="AM18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64.221999999999994</v>
      </c>
    </row>
    <row r="185" spans="1:39" x14ac:dyDescent="0.3">
      <c r="A185" t="str">
        <f>_xlfn.CONCAT(표1[[#This Row],[Year]],표1[[#This Row],[Player]])</f>
        <v>2006이숭용</v>
      </c>
      <c r="B185">
        <v>2006</v>
      </c>
      <c r="C185">
        <v>13</v>
      </c>
      <c r="D185" t="s">
        <v>22</v>
      </c>
      <c r="E185" t="s">
        <v>3</v>
      </c>
      <c r="F185">
        <v>0.28599999999999998</v>
      </c>
      <c r="G185">
        <v>119</v>
      </c>
      <c r="H185">
        <v>449</v>
      </c>
      <c r="I185">
        <v>370</v>
      </c>
      <c r="J185">
        <v>44</v>
      </c>
      <c r="K185">
        <v>106</v>
      </c>
      <c r="L185">
        <f>표1[[#This Row],[H]]-표1[[#This Row],[2B]]-표1[[#This Row],[3B]]-표1[[#This Row],[HR]]</f>
        <v>87</v>
      </c>
      <c r="M185">
        <v>12</v>
      </c>
      <c r="N185">
        <v>0</v>
      </c>
      <c r="O185">
        <v>7</v>
      </c>
      <c r="P185">
        <v>139</v>
      </c>
      <c r="Q185">
        <v>43</v>
      </c>
      <c r="R185">
        <v>12</v>
      </c>
      <c r="S185">
        <v>3</v>
      </c>
      <c r="T185">
        <v>59</v>
      </c>
      <c r="U185">
        <v>3</v>
      </c>
      <c r="V185">
        <v>3</v>
      </c>
      <c r="W185">
        <v>6</v>
      </c>
      <c r="X185">
        <v>5</v>
      </c>
      <c r="Y185">
        <v>45</v>
      </c>
      <c r="Z185">
        <v>11</v>
      </c>
      <c r="AA185">
        <v>0.376</v>
      </c>
      <c r="AB185">
        <v>0.38900000000000001</v>
      </c>
      <c r="AC185">
        <v>0.76500000000000001</v>
      </c>
      <c r="AD185">
        <v>25</v>
      </c>
      <c r="AE185">
        <v>0.27900000000000003</v>
      </c>
      <c r="AF185">
        <v>0</v>
      </c>
      <c r="AG185">
        <f>(표1[[#This Row],[TB]]-표1[[#This Row],[H]])/표1[[#This Row],[AB]]</f>
        <v>8.9189189189189194E-2</v>
      </c>
      <c r="AH185">
        <f>(표1[[#This Row],[TB]]-표1[[#This Row],[H]]+표1[[#This Row],[BB]]+표1[[#This Row],[SB]]-표1[[#This Row],[CS]])/표1[[#This Row],[AB]]</f>
        <v>0.24054054054054055</v>
      </c>
      <c r="AI185">
        <f>(표1[[#This Row],[TB]]+표1[[#This Row],[BB]]+표1[[#This Row],[HBP]]+표1[[#This Row],[SB]]-표1[[#This Row],[CS]])/(표1[[#This Row],[AB]]-표1[[#This Row],[H]]+표1[[#This Row],[CS]]+표1[[#This Row],[GDP]])</f>
        <v>0.71174377224199292</v>
      </c>
      <c r="AJ18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55.959153674832969</v>
      </c>
      <c r="AK185">
        <f>표1[[#This Row],[RC]]/((표1[[#This Row],[AB]]-표1[[#This Row],[H]]+표1[[#This Row],[SAC]]+표1[[#This Row],[SF]]+표1[[#This Row],[CS]]+표1[[#This Row],[GDP]])/27)</f>
        <v>5.1043822608800342</v>
      </c>
      <c r="AL18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0.34263594470046083</v>
      </c>
      <c r="AM18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55.72999999999999</v>
      </c>
    </row>
    <row r="186" spans="1:39" x14ac:dyDescent="0.3">
      <c r="A186" t="str">
        <f>_xlfn.CONCAT(표1[[#This Row],[Year]],표1[[#This Row],[Player]])</f>
        <v>2006박한이</v>
      </c>
      <c r="B186">
        <v>2006</v>
      </c>
      <c r="C186">
        <v>14</v>
      </c>
      <c r="D186" t="s">
        <v>9</v>
      </c>
      <c r="E186" t="s">
        <v>6</v>
      </c>
      <c r="F186">
        <v>0.28499999999999998</v>
      </c>
      <c r="G186">
        <v>126</v>
      </c>
      <c r="H186">
        <v>567</v>
      </c>
      <c r="I186">
        <v>471</v>
      </c>
      <c r="J186">
        <v>89</v>
      </c>
      <c r="K186">
        <v>134</v>
      </c>
      <c r="L186">
        <f>표1[[#This Row],[H]]-표1[[#This Row],[2B]]-표1[[#This Row],[3B]]-표1[[#This Row],[HR]]</f>
        <v>105</v>
      </c>
      <c r="M186">
        <v>21</v>
      </c>
      <c r="N186">
        <v>2</v>
      </c>
      <c r="O186">
        <v>6</v>
      </c>
      <c r="P186">
        <v>177</v>
      </c>
      <c r="Q186">
        <v>43</v>
      </c>
      <c r="R186">
        <v>7</v>
      </c>
      <c r="S186">
        <v>3</v>
      </c>
      <c r="T186">
        <v>80</v>
      </c>
      <c r="U186">
        <v>4</v>
      </c>
      <c r="V186">
        <v>15</v>
      </c>
      <c r="W186">
        <v>10</v>
      </c>
      <c r="X186">
        <v>6</v>
      </c>
      <c r="Y186">
        <v>62</v>
      </c>
      <c r="Z186">
        <v>11</v>
      </c>
      <c r="AA186">
        <v>0.376</v>
      </c>
      <c r="AB186">
        <v>0.39300000000000002</v>
      </c>
      <c r="AC186">
        <v>0.76900000000000002</v>
      </c>
      <c r="AD186">
        <v>36</v>
      </c>
      <c r="AE186">
        <v>0.214</v>
      </c>
      <c r="AF186">
        <v>0</v>
      </c>
      <c r="AG186">
        <f>(표1[[#This Row],[TB]]-표1[[#This Row],[H]])/표1[[#This Row],[AB]]</f>
        <v>9.1295116772823773E-2</v>
      </c>
      <c r="AH186">
        <f>(표1[[#This Row],[TB]]-표1[[#This Row],[H]]+표1[[#This Row],[BB]]+표1[[#This Row],[SB]]-표1[[#This Row],[CS]])/표1[[#This Row],[AB]]</f>
        <v>0.27176220806794055</v>
      </c>
      <c r="AI186">
        <f>(표1[[#This Row],[TB]]+표1[[#This Row],[BB]]+표1[[#This Row],[HBP]]+표1[[#This Row],[SB]]-표1[[#This Row],[CS]])/(표1[[#This Row],[AB]]-표1[[#This Row],[H]]+표1[[#This Row],[CS]]+표1[[#This Row],[GDP]])</f>
        <v>0.74860335195530725</v>
      </c>
      <c r="AJ18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74.166984126984133</v>
      </c>
      <c r="AK186">
        <f>표1[[#This Row],[RC]]/((표1[[#This Row],[AB]]-표1[[#This Row],[H]]+표1[[#This Row],[SAC]]+표1[[#This Row],[SF]]+표1[[#This Row],[CS]]+표1[[#This Row],[GDP]])/27)</f>
        <v>5.4415993788819881</v>
      </c>
      <c r="AL18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0.34460251798561148</v>
      </c>
      <c r="AM18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73.214000000000013</v>
      </c>
    </row>
    <row r="187" spans="1:39" x14ac:dyDescent="0.3">
      <c r="A187" t="str">
        <f>_xlfn.CONCAT(표1[[#This Row],[Year]],표1[[#This Row],[Player]])</f>
        <v>2006데이비스</v>
      </c>
      <c r="B187">
        <v>2006</v>
      </c>
      <c r="C187">
        <v>15</v>
      </c>
      <c r="D187" t="s">
        <v>56</v>
      </c>
      <c r="E187" t="s">
        <v>11</v>
      </c>
      <c r="F187">
        <v>0.28399999999999997</v>
      </c>
      <c r="G187">
        <v>117</v>
      </c>
      <c r="H187">
        <v>479</v>
      </c>
      <c r="I187">
        <v>415</v>
      </c>
      <c r="J187">
        <v>62</v>
      </c>
      <c r="K187">
        <v>118</v>
      </c>
      <c r="L187">
        <f>표1[[#This Row],[H]]-표1[[#This Row],[2B]]-표1[[#This Row],[3B]]-표1[[#This Row],[HR]]</f>
        <v>76</v>
      </c>
      <c r="M187">
        <v>21</v>
      </c>
      <c r="N187">
        <v>0</v>
      </c>
      <c r="O187">
        <v>21</v>
      </c>
      <c r="P187">
        <v>202</v>
      </c>
      <c r="Q187">
        <v>74</v>
      </c>
      <c r="R187">
        <v>0</v>
      </c>
      <c r="S187">
        <v>5</v>
      </c>
      <c r="T187">
        <v>55</v>
      </c>
      <c r="U187">
        <v>7</v>
      </c>
      <c r="V187">
        <v>7</v>
      </c>
      <c r="W187">
        <v>6</v>
      </c>
      <c r="X187">
        <v>4</v>
      </c>
      <c r="Y187">
        <v>85</v>
      </c>
      <c r="Z187">
        <v>10</v>
      </c>
      <c r="AA187">
        <v>0.48699999999999999</v>
      </c>
      <c r="AB187">
        <v>0.37</v>
      </c>
      <c r="AC187">
        <v>0.85699999999999998</v>
      </c>
      <c r="AD187">
        <v>33</v>
      </c>
      <c r="AE187">
        <v>0.29199999999999998</v>
      </c>
      <c r="AF187">
        <v>0.33300000000000002</v>
      </c>
      <c r="AG187">
        <f>(표1[[#This Row],[TB]]-표1[[#This Row],[H]])/표1[[#This Row],[AB]]</f>
        <v>0.20240963855421687</v>
      </c>
      <c r="AH187">
        <f>(표1[[#This Row],[TB]]-표1[[#This Row],[H]]+표1[[#This Row],[BB]]+표1[[#This Row],[SB]]-표1[[#This Row],[CS]])/표1[[#This Row],[AB]]</f>
        <v>0.33734939759036142</v>
      </c>
      <c r="AI187">
        <f>(표1[[#This Row],[TB]]+표1[[#This Row],[BB]]+표1[[#This Row],[HBP]]+표1[[#This Row],[SB]]-표1[[#This Row],[CS]])/(표1[[#This Row],[AB]]-표1[[#This Row],[H]]+표1[[#This Row],[CS]]+표1[[#This Row],[GDP]])</f>
        <v>0.83706070287539935</v>
      </c>
      <c r="AJ18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74.537286012526096</v>
      </c>
      <c r="AK187">
        <f>표1[[#This Row],[RC]]/((표1[[#This Row],[AB]]-표1[[#This Row],[H]]+표1[[#This Row],[SAC]]+표1[[#This Row],[SF]]+표1[[#This Row],[CS]]+표1[[#This Row],[GDP]])/27)</f>
        <v>6.328637491629574</v>
      </c>
      <c r="AL18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0.36621822033898305</v>
      </c>
      <c r="AM18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72.87</v>
      </c>
    </row>
    <row r="188" spans="1:39" x14ac:dyDescent="0.3">
      <c r="A188" t="str">
        <f>_xlfn.CONCAT(표1[[#This Row],[Year]],표1[[#This Row],[Player]])</f>
        <v>2006이재주</v>
      </c>
      <c r="B188">
        <v>2006</v>
      </c>
      <c r="C188">
        <v>16</v>
      </c>
      <c r="D188" t="s">
        <v>78</v>
      </c>
      <c r="E188" t="s">
        <v>13</v>
      </c>
      <c r="F188">
        <v>0.28399999999999997</v>
      </c>
      <c r="G188">
        <v>115</v>
      </c>
      <c r="H188">
        <v>436</v>
      </c>
      <c r="I188">
        <v>377</v>
      </c>
      <c r="J188">
        <v>38</v>
      </c>
      <c r="K188">
        <v>107</v>
      </c>
      <c r="L188">
        <f>표1[[#This Row],[H]]-표1[[#This Row],[2B]]-표1[[#This Row],[3B]]-표1[[#This Row],[HR]]</f>
        <v>68</v>
      </c>
      <c r="M188">
        <v>26</v>
      </c>
      <c r="N188">
        <v>0</v>
      </c>
      <c r="O188">
        <v>13</v>
      </c>
      <c r="P188">
        <v>172</v>
      </c>
      <c r="Q188">
        <v>59</v>
      </c>
      <c r="R188">
        <v>1</v>
      </c>
      <c r="S188">
        <v>4</v>
      </c>
      <c r="T188">
        <v>52</v>
      </c>
      <c r="U188">
        <v>1</v>
      </c>
      <c r="V188">
        <v>1</v>
      </c>
      <c r="W188">
        <v>1</v>
      </c>
      <c r="X188">
        <v>2</v>
      </c>
      <c r="Y188">
        <v>78</v>
      </c>
      <c r="Z188">
        <v>13</v>
      </c>
      <c r="AA188">
        <v>0.45600000000000002</v>
      </c>
      <c r="AB188">
        <v>0.37</v>
      </c>
      <c r="AC188">
        <v>0.82599999999999996</v>
      </c>
      <c r="AD188">
        <v>34</v>
      </c>
      <c r="AE188">
        <v>0.24299999999999999</v>
      </c>
      <c r="AF188">
        <v>0.28599999999999998</v>
      </c>
      <c r="AG188">
        <f>(표1[[#This Row],[TB]]-표1[[#This Row],[H]])/표1[[#This Row],[AB]]</f>
        <v>0.17241379310344829</v>
      </c>
      <c r="AH188">
        <f>(표1[[#This Row],[TB]]-표1[[#This Row],[H]]+표1[[#This Row],[BB]]+표1[[#This Row],[SB]]-표1[[#This Row],[CS]])/표1[[#This Row],[AB]]</f>
        <v>0.31034482758620691</v>
      </c>
      <c r="AI188">
        <f>(표1[[#This Row],[TB]]+표1[[#This Row],[BB]]+표1[[#This Row],[HBP]]+표1[[#This Row],[SB]]-표1[[#This Row],[CS]])/(표1[[#This Row],[AB]]-표1[[#This Row],[H]]+표1[[#This Row],[CS]]+표1[[#This Row],[GDP]])</f>
        <v>0.79577464788732399</v>
      </c>
      <c r="AJ18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63.688761467889904</v>
      </c>
      <c r="AK188">
        <f>표1[[#This Row],[RC]]/((표1[[#This Row],[AB]]-표1[[#This Row],[H]]+표1[[#This Row],[SAC]]+표1[[#This Row],[SF]]+표1[[#This Row],[CS]]+표1[[#This Row],[GDP]])/27)</f>
        <v>5.9501611059966342</v>
      </c>
      <c r="AL18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0.35998387096774187</v>
      </c>
      <c r="AM18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61.355999999999995</v>
      </c>
    </row>
    <row r="189" spans="1:39" x14ac:dyDescent="0.3">
      <c r="A189" t="str">
        <f>_xlfn.CONCAT(표1[[#This Row],[Year]],표1[[#This Row],[Player]])</f>
        <v>2006정근우</v>
      </c>
      <c r="B189">
        <v>2006</v>
      </c>
      <c r="C189">
        <v>17</v>
      </c>
      <c r="D189" t="s">
        <v>79</v>
      </c>
      <c r="E189" t="s">
        <v>8</v>
      </c>
      <c r="F189">
        <v>0.28399999999999997</v>
      </c>
      <c r="G189">
        <v>120</v>
      </c>
      <c r="H189">
        <v>487</v>
      </c>
      <c r="I189">
        <v>430</v>
      </c>
      <c r="J189">
        <v>69</v>
      </c>
      <c r="K189">
        <v>122</v>
      </c>
      <c r="L189">
        <f>표1[[#This Row],[H]]-표1[[#This Row],[2B]]-표1[[#This Row],[3B]]-표1[[#This Row],[HR]]</f>
        <v>91</v>
      </c>
      <c r="M189">
        <v>19</v>
      </c>
      <c r="N189">
        <v>4</v>
      </c>
      <c r="O189">
        <v>8</v>
      </c>
      <c r="P189">
        <v>173</v>
      </c>
      <c r="Q189">
        <v>42</v>
      </c>
      <c r="R189">
        <v>13</v>
      </c>
      <c r="S189">
        <v>4</v>
      </c>
      <c r="T189">
        <v>36</v>
      </c>
      <c r="U189">
        <v>1</v>
      </c>
      <c r="V189">
        <v>45</v>
      </c>
      <c r="W189">
        <v>10</v>
      </c>
      <c r="X189">
        <v>4</v>
      </c>
      <c r="Y189">
        <v>60</v>
      </c>
      <c r="Z189">
        <v>3</v>
      </c>
      <c r="AA189">
        <v>0.40200000000000002</v>
      </c>
      <c r="AB189">
        <v>0.34200000000000003</v>
      </c>
      <c r="AC189">
        <v>0.74399999999999999</v>
      </c>
      <c r="AD189">
        <v>35</v>
      </c>
      <c r="AE189">
        <v>0.28899999999999998</v>
      </c>
      <c r="AF189">
        <v>0.25</v>
      </c>
      <c r="AG189">
        <f>(표1[[#This Row],[TB]]-표1[[#This Row],[H]])/표1[[#This Row],[AB]]</f>
        <v>0.1186046511627907</v>
      </c>
      <c r="AH189">
        <f>(표1[[#This Row],[TB]]-표1[[#This Row],[H]]+표1[[#This Row],[BB]]+표1[[#This Row],[SB]]-표1[[#This Row],[CS]])/표1[[#This Row],[AB]]</f>
        <v>0.28372093023255812</v>
      </c>
      <c r="AI189">
        <f>(표1[[#This Row],[TB]]+표1[[#This Row],[BB]]+표1[[#This Row],[HBP]]+표1[[#This Row],[SB]]-표1[[#This Row],[CS]])/(표1[[#This Row],[AB]]-표1[[#This Row],[H]]+표1[[#This Row],[CS]]+표1[[#This Row],[GDP]])</f>
        <v>0.77258566978193144</v>
      </c>
      <c r="AJ18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65.896550308008216</v>
      </c>
      <c r="AK189">
        <f>표1[[#This Row],[RC]]/((표1[[#This Row],[AB]]-표1[[#This Row],[H]]+표1[[#This Row],[SAC]]+표1[[#This Row],[SF]]+표1[[#This Row],[CS]]+표1[[#This Row],[GDP]])/27)</f>
        <v>5.2639256163201829</v>
      </c>
      <c r="AL18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0.32608033826638477</v>
      </c>
      <c r="AM18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65.960000000000008</v>
      </c>
    </row>
    <row r="190" spans="1:39" x14ac:dyDescent="0.3">
      <c r="A190" t="str">
        <f>_xlfn.CONCAT(표1[[#This Row],[Year]],표1[[#This Row],[Player]])</f>
        <v>2006안경현</v>
      </c>
      <c r="B190">
        <v>2006</v>
      </c>
      <c r="C190">
        <v>18</v>
      </c>
      <c r="D190" t="s">
        <v>4</v>
      </c>
      <c r="E190" t="s">
        <v>1</v>
      </c>
      <c r="F190">
        <v>0.28399999999999997</v>
      </c>
      <c r="G190">
        <v>125</v>
      </c>
      <c r="H190">
        <v>499</v>
      </c>
      <c r="I190">
        <v>423</v>
      </c>
      <c r="J190">
        <v>45</v>
      </c>
      <c r="K190">
        <v>120</v>
      </c>
      <c r="L190">
        <f>표1[[#This Row],[H]]-표1[[#This Row],[2B]]-표1[[#This Row],[3B]]-표1[[#This Row],[HR]]</f>
        <v>84</v>
      </c>
      <c r="M190">
        <v>21</v>
      </c>
      <c r="N190">
        <v>0</v>
      </c>
      <c r="O190">
        <v>15</v>
      </c>
      <c r="P190">
        <v>186</v>
      </c>
      <c r="Q190">
        <v>70</v>
      </c>
      <c r="R190">
        <v>5</v>
      </c>
      <c r="S190">
        <v>5</v>
      </c>
      <c r="T190">
        <v>50</v>
      </c>
      <c r="U190">
        <v>2</v>
      </c>
      <c r="V190">
        <v>3</v>
      </c>
      <c r="W190">
        <v>1</v>
      </c>
      <c r="X190">
        <v>16</v>
      </c>
      <c r="Y190">
        <v>45</v>
      </c>
      <c r="Z190">
        <v>19</v>
      </c>
      <c r="AA190">
        <v>0.44</v>
      </c>
      <c r="AB190">
        <v>0.377</v>
      </c>
      <c r="AC190">
        <v>0.81699999999999995</v>
      </c>
      <c r="AD190">
        <v>29</v>
      </c>
      <c r="AE190">
        <v>0.33700000000000002</v>
      </c>
      <c r="AF190">
        <v>0</v>
      </c>
      <c r="AG190">
        <f>(표1[[#This Row],[TB]]-표1[[#This Row],[H]])/표1[[#This Row],[AB]]</f>
        <v>0.15602836879432624</v>
      </c>
      <c r="AH190">
        <f>(표1[[#This Row],[TB]]-표1[[#This Row],[H]]+표1[[#This Row],[BB]]+표1[[#This Row],[SB]]-표1[[#This Row],[CS]])/표1[[#This Row],[AB]]</f>
        <v>0.27895981087470451</v>
      </c>
      <c r="AI190">
        <f>(표1[[#This Row],[TB]]+표1[[#This Row],[BB]]+표1[[#This Row],[HBP]]+표1[[#This Row],[SB]]-표1[[#This Row],[CS]])/(표1[[#This Row],[AB]]-표1[[#This Row],[H]]+표1[[#This Row],[CS]]+표1[[#This Row],[GDP]])</f>
        <v>0.78637770897832815</v>
      </c>
      <c r="AJ19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69.66012024048095</v>
      </c>
      <c r="AK190">
        <f>표1[[#This Row],[RC]]/((표1[[#This Row],[AB]]-표1[[#This Row],[H]]+표1[[#This Row],[SAC]]+표1[[#This Row],[SF]]+표1[[#This Row],[CS]]+표1[[#This Row],[GDP]])/27)</f>
        <v>5.6481178573362927</v>
      </c>
      <c r="AL19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0.35821747967479672</v>
      </c>
      <c r="AM19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68.590000000000018</v>
      </c>
    </row>
    <row r="191" spans="1:39" x14ac:dyDescent="0.3">
      <c r="A191" t="str">
        <f>_xlfn.CONCAT(표1[[#This Row],[Year]],표1[[#This Row],[Player]])</f>
        <v>2006이종욱</v>
      </c>
      <c r="B191">
        <v>2006</v>
      </c>
      <c r="C191">
        <v>19</v>
      </c>
      <c r="D191" t="s">
        <v>80</v>
      </c>
      <c r="E191" t="s">
        <v>1</v>
      </c>
      <c r="F191">
        <v>0.28399999999999997</v>
      </c>
      <c r="G191">
        <v>120</v>
      </c>
      <c r="H191">
        <v>448</v>
      </c>
      <c r="I191">
        <v>388</v>
      </c>
      <c r="J191">
        <v>76</v>
      </c>
      <c r="K191">
        <v>110</v>
      </c>
      <c r="L191">
        <f>표1[[#This Row],[H]]-표1[[#This Row],[2B]]-표1[[#This Row],[3B]]-표1[[#This Row],[HR]]</f>
        <v>89</v>
      </c>
      <c r="M191">
        <v>14</v>
      </c>
      <c r="N191">
        <v>6</v>
      </c>
      <c r="O191">
        <v>1</v>
      </c>
      <c r="P191">
        <v>139</v>
      </c>
      <c r="Q191">
        <v>32</v>
      </c>
      <c r="R191">
        <v>11</v>
      </c>
      <c r="S191">
        <v>1</v>
      </c>
      <c r="T191">
        <v>40</v>
      </c>
      <c r="U191">
        <v>2</v>
      </c>
      <c r="V191">
        <v>51</v>
      </c>
      <c r="W191">
        <v>7</v>
      </c>
      <c r="X191">
        <v>7</v>
      </c>
      <c r="Y191">
        <v>60</v>
      </c>
      <c r="Z191">
        <v>1</v>
      </c>
      <c r="AA191">
        <v>0.35799999999999998</v>
      </c>
      <c r="AB191">
        <v>0.36</v>
      </c>
      <c r="AC191">
        <v>0.71799999999999997</v>
      </c>
      <c r="AD191">
        <v>31</v>
      </c>
      <c r="AE191">
        <v>0.29199999999999998</v>
      </c>
      <c r="AF191">
        <v>0</v>
      </c>
      <c r="AG191">
        <f>(표1[[#This Row],[TB]]-표1[[#This Row],[H]])/표1[[#This Row],[AB]]</f>
        <v>7.4742268041237112E-2</v>
      </c>
      <c r="AH191">
        <f>(표1[[#This Row],[TB]]-표1[[#This Row],[H]]+표1[[#This Row],[BB]]+표1[[#This Row],[SB]]-표1[[#This Row],[CS]])/표1[[#This Row],[AB]]</f>
        <v>0.29123711340206188</v>
      </c>
      <c r="AI191">
        <f>(표1[[#This Row],[TB]]+표1[[#This Row],[BB]]+표1[[#This Row],[HBP]]+표1[[#This Row],[SB]]-표1[[#This Row],[CS]])/(표1[[#This Row],[AB]]-표1[[#This Row],[H]]+표1[[#This Row],[CS]]+표1[[#This Row],[GDP]])</f>
        <v>0.80419580419580416</v>
      </c>
      <c r="AJ19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61.153333333333329</v>
      </c>
      <c r="AK191">
        <f>표1[[#This Row],[RC]]/((표1[[#This Row],[AB]]-표1[[#This Row],[H]]+표1[[#This Row],[SAC]]+표1[[#This Row],[SF]]+표1[[#This Row],[CS]]+표1[[#This Row],[GDP]])/27)</f>
        <v>5.5407382550335571</v>
      </c>
      <c r="AL19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0.32074193548387098</v>
      </c>
      <c r="AM19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59.939999999999991</v>
      </c>
    </row>
    <row r="192" spans="1:39" x14ac:dyDescent="0.3">
      <c r="A192" t="str">
        <f>_xlfn.CONCAT(표1[[#This Row],[Year]],표1[[#This Row],[Player]])</f>
        <v>2006박진만</v>
      </c>
      <c r="B192">
        <v>2006</v>
      </c>
      <c r="C192">
        <v>20</v>
      </c>
      <c r="D192" t="s">
        <v>31</v>
      </c>
      <c r="E192" t="s">
        <v>6</v>
      </c>
      <c r="F192">
        <v>0.28299999999999997</v>
      </c>
      <c r="G192">
        <v>115</v>
      </c>
      <c r="H192">
        <v>452</v>
      </c>
      <c r="I192">
        <v>382</v>
      </c>
      <c r="J192">
        <v>54</v>
      </c>
      <c r="K192">
        <v>108</v>
      </c>
      <c r="L192">
        <f>표1[[#This Row],[H]]-표1[[#This Row],[2B]]-표1[[#This Row],[3B]]-표1[[#This Row],[HR]]</f>
        <v>74</v>
      </c>
      <c r="M192">
        <v>22</v>
      </c>
      <c r="N192">
        <v>1</v>
      </c>
      <c r="O192">
        <v>11</v>
      </c>
      <c r="P192">
        <v>165</v>
      </c>
      <c r="Q192">
        <v>65</v>
      </c>
      <c r="R192">
        <v>2</v>
      </c>
      <c r="S192">
        <v>5</v>
      </c>
      <c r="T192">
        <v>56</v>
      </c>
      <c r="U192">
        <v>0</v>
      </c>
      <c r="V192">
        <v>10</v>
      </c>
      <c r="W192">
        <v>6</v>
      </c>
      <c r="X192">
        <v>7</v>
      </c>
      <c r="Y192">
        <v>74</v>
      </c>
      <c r="Z192">
        <v>6</v>
      </c>
      <c r="AA192">
        <v>0.432</v>
      </c>
      <c r="AB192">
        <v>0.38</v>
      </c>
      <c r="AC192">
        <v>0.81200000000000006</v>
      </c>
      <c r="AD192">
        <v>26</v>
      </c>
      <c r="AE192">
        <v>0.29499999999999998</v>
      </c>
      <c r="AF192">
        <v>0</v>
      </c>
      <c r="AG192">
        <f>(표1[[#This Row],[TB]]-표1[[#This Row],[H]])/표1[[#This Row],[AB]]</f>
        <v>0.14921465968586387</v>
      </c>
      <c r="AH192">
        <f>(표1[[#This Row],[TB]]-표1[[#This Row],[H]]+표1[[#This Row],[BB]]+표1[[#This Row],[SB]]-표1[[#This Row],[CS]])/표1[[#This Row],[AB]]</f>
        <v>0.30628272251308902</v>
      </c>
      <c r="AI192">
        <f>(표1[[#This Row],[TB]]+표1[[#This Row],[BB]]+표1[[#This Row],[HBP]]+표1[[#This Row],[SB]]-표1[[#This Row],[CS]])/(표1[[#This Row],[AB]]-표1[[#This Row],[H]]+표1[[#This Row],[CS]]+표1[[#This Row],[GDP]])</f>
        <v>0.81118881118881114</v>
      </c>
      <c r="AJ19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66.913672566371687</v>
      </c>
      <c r="AK192">
        <f>표1[[#This Row],[RC]]/((표1[[#This Row],[AB]]-표1[[#This Row],[H]]+표1[[#This Row],[SAC]]+표1[[#This Row],[SF]]+표1[[#This Row],[CS]]+표1[[#This Row],[GDP]])/27)</f>
        <v>6.1661063457066065</v>
      </c>
      <c r="AL19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0.3578911111111111</v>
      </c>
      <c r="AM19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65.477999999999994</v>
      </c>
    </row>
    <row r="193" spans="1:39" x14ac:dyDescent="0.3">
      <c r="A193" t="str">
        <f>_xlfn.CONCAT(표1[[#This Row],[Year]],표1[[#This Row],[Player]])</f>
        <v>2006김동수</v>
      </c>
      <c r="B193">
        <v>2006</v>
      </c>
      <c r="C193">
        <v>21</v>
      </c>
      <c r="D193" t="s">
        <v>15</v>
      </c>
      <c r="E193" t="s">
        <v>3</v>
      </c>
      <c r="F193">
        <v>0.27900000000000003</v>
      </c>
      <c r="G193">
        <v>115</v>
      </c>
      <c r="H193">
        <v>391</v>
      </c>
      <c r="I193">
        <v>333</v>
      </c>
      <c r="J193">
        <v>38</v>
      </c>
      <c r="K193">
        <v>93</v>
      </c>
      <c r="L193">
        <f>표1[[#This Row],[H]]-표1[[#This Row],[2B]]-표1[[#This Row],[3B]]-표1[[#This Row],[HR]]</f>
        <v>76</v>
      </c>
      <c r="M193">
        <v>12</v>
      </c>
      <c r="N193">
        <v>0</v>
      </c>
      <c r="O193">
        <v>5</v>
      </c>
      <c r="P193">
        <v>120</v>
      </c>
      <c r="Q193">
        <v>40</v>
      </c>
      <c r="R193">
        <v>17</v>
      </c>
      <c r="S193">
        <v>4</v>
      </c>
      <c r="T193">
        <v>29</v>
      </c>
      <c r="U193">
        <v>3</v>
      </c>
      <c r="V193">
        <v>3</v>
      </c>
      <c r="W193">
        <v>1</v>
      </c>
      <c r="X193">
        <v>8</v>
      </c>
      <c r="Y193">
        <v>39</v>
      </c>
      <c r="Z193">
        <v>10</v>
      </c>
      <c r="AA193">
        <v>0.36</v>
      </c>
      <c r="AB193">
        <v>0.34799999999999998</v>
      </c>
      <c r="AC193">
        <v>0.70799999999999996</v>
      </c>
      <c r="AD193">
        <v>20</v>
      </c>
      <c r="AE193">
        <v>0.28999999999999998</v>
      </c>
      <c r="AF193">
        <v>0</v>
      </c>
      <c r="AG193">
        <f>(표1[[#This Row],[TB]]-표1[[#This Row],[H]])/표1[[#This Row],[AB]]</f>
        <v>8.1081081081081086E-2</v>
      </c>
      <c r="AH193">
        <f>(표1[[#This Row],[TB]]-표1[[#This Row],[H]]+표1[[#This Row],[BB]]+표1[[#This Row],[SB]]-표1[[#This Row],[CS]])/표1[[#This Row],[AB]]</f>
        <v>0.17417417417417416</v>
      </c>
      <c r="AI193">
        <f>(표1[[#This Row],[TB]]+표1[[#This Row],[BB]]+표1[[#This Row],[HBP]]+표1[[#This Row],[SB]]-표1[[#This Row],[CS]])/(표1[[#This Row],[AB]]-표1[[#This Row],[H]]+표1[[#This Row],[CS]]+표1[[#This Row],[GDP]])</f>
        <v>0.63346613545816732</v>
      </c>
      <c r="AJ19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43.010434782608691</v>
      </c>
      <c r="AK193">
        <f>표1[[#This Row],[RC]]/((표1[[#This Row],[AB]]-표1[[#This Row],[H]]+표1[[#This Row],[SAC]]+표1[[#This Row],[SF]]+표1[[#This Row],[CS]]+표1[[#This Row],[GDP]])/27)</f>
        <v>4.269418158567774</v>
      </c>
      <c r="AL19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0.31347708894878701</v>
      </c>
      <c r="AM19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42.917999999999985</v>
      </c>
    </row>
    <row r="194" spans="1:39" x14ac:dyDescent="0.3">
      <c r="A194" t="str">
        <f>_xlfn.CONCAT(표1[[#This Row],[Year]],표1[[#This Row],[Player]])</f>
        <v>2006호세</v>
      </c>
      <c r="B194">
        <v>2006</v>
      </c>
      <c r="C194">
        <v>22</v>
      </c>
      <c r="D194" t="s">
        <v>81</v>
      </c>
      <c r="E194" t="s">
        <v>17</v>
      </c>
      <c r="F194">
        <v>0.27700000000000002</v>
      </c>
      <c r="G194">
        <v>122</v>
      </c>
      <c r="H194">
        <v>504</v>
      </c>
      <c r="I194">
        <v>415</v>
      </c>
      <c r="J194">
        <v>59</v>
      </c>
      <c r="K194">
        <v>115</v>
      </c>
      <c r="L194">
        <f>표1[[#This Row],[H]]-표1[[#This Row],[2B]]-표1[[#This Row],[3B]]-표1[[#This Row],[HR]]</f>
        <v>72</v>
      </c>
      <c r="M194">
        <v>21</v>
      </c>
      <c r="N194">
        <v>0</v>
      </c>
      <c r="O194">
        <v>22</v>
      </c>
      <c r="P194">
        <v>202</v>
      </c>
      <c r="Q194">
        <v>78</v>
      </c>
      <c r="R194">
        <v>0</v>
      </c>
      <c r="S194">
        <v>3</v>
      </c>
      <c r="T194">
        <v>84</v>
      </c>
      <c r="U194">
        <v>5</v>
      </c>
      <c r="V194">
        <v>3</v>
      </c>
      <c r="W194">
        <v>2</v>
      </c>
      <c r="X194">
        <v>2</v>
      </c>
      <c r="Y194">
        <v>83</v>
      </c>
      <c r="Z194">
        <v>13</v>
      </c>
      <c r="AA194">
        <v>0.48699999999999999</v>
      </c>
      <c r="AB194">
        <v>0.39900000000000002</v>
      </c>
      <c r="AC194">
        <v>0.88600000000000001</v>
      </c>
      <c r="AD194">
        <v>29</v>
      </c>
      <c r="AE194">
        <v>0.316</v>
      </c>
      <c r="AF194">
        <v>0</v>
      </c>
      <c r="AG194">
        <f>(표1[[#This Row],[TB]]-표1[[#This Row],[H]])/표1[[#This Row],[AB]]</f>
        <v>0.20963855421686747</v>
      </c>
      <c r="AH194">
        <f>(표1[[#This Row],[TB]]-표1[[#This Row],[H]]+표1[[#This Row],[BB]]+표1[[#This Row],[SB]]-표1[[#This Row],[CS]])/표1[[#This Row],[AB]]</f>
        <v>0.41445783132530123</v>
      </c>
      <c r="AI194">
        <f>(표1[[#This Row],[TB]]+표1[[#This Row],[BB]]+표1[[#This Row],[HBP]]+표1[[#This Row],[SB]]-표1[[#This Row],[CS]])/(표1[[#This Row],[AB]]-표1[[#This Row],[H]]+표1[[#This Row],[CS]]+표1[[#This Row],[GDP]])</f>
        <v>0.91746031746031742</v>
      </c>
      <c r="AJ19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83.471190476190486</v>
      </c>
      <c r="AK194">
        <f>표1[[#This Row],[RC]]/((표1[[#This Row],[AB]]-표1[[#This Row],[H]]+표1[[#This Row],[SAC]]+표1[[#This Row],[SF]]+표1[[#This Row],[CS]]+표1[[#This Row],[GDP]])/27)</f>
        <v>7.0871765498652293</v>
      </c>
      <c r="AL19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0.38347494989979958</v>
      </c>
      <c r="AM19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80.126000000000005</v>
      </c>
    </row>
    <row r="195" spans="1:39" x14ac:dyDescent="0.3">
      <c r="A195" t="str">
        <f>_xlfn.CONCAT(표1[[#This Row],[Year]],표1[[#This Row],[Player]])</f>
        <v>2006이진영</v>
      </c>
      <c r="B195">
        <v>2006</v>
      </c>
      <c r="C195">
        <v>23</v>
      </c>
      <c r="D195" t="s">
        <v>7</v>
      </c>
      <c r="E195" t="s">
        <v>8</v>
      </c>
      <c r="F195">
        <v>0.27300000000000002</v>
      </c>
      <c r="G195">
        <v>118</v>
      </c>
      <c r="H195">
        <v>473</v>
      </c>
      <c r="I195">
        <v>428</v>
      </c>
      <c r="J195">
        <v>54</v>
      </c>
      <c r="K195">
        <v>117</v>
      </c>
      <c r="L195">
        <f>표1[[#This Row],[H]]-표1[[#This Row],[2B]]-표1[[#This Row],[3B]]-표1[[#This Row],[HR]]</f>
        <v>93</v>
      </c>
      <c r="M195">
        <v>13</v>
      </c>
      <c r="N195">
        <v>0</v>
      </c>
      <c r="O195">
        <v>11</v>
      </c>
      <c r="P195">
        <v>163</v>
      </c>
      <c r="Q195">
        <v>41</v>
      </c>
      <c r="R195">
        <v>2</v>
      </c>
      <c r="S195">
        <v>0</v>
      </c>
      <c r="T195">
        <v>41</v>
      </c>
      <c r="U195">
        <v>2</v>
      </c>
      <c r="V195">
        <v>3</v>
      </c>
      <c r="W195">
        <v>4</v>
      </c>
      <c r="X195">
        <v>2</v>
      </c>
      <c r="Y195">
        <v>52</v>
      </c>
      <c r="Z195">
        <v>8</v>
      </c>
      <c r="AA195">
        <v>0.38100000000000001</v>
      </c>
      <c r="AB195">
        <v>0.34</v>
      </c>
      <c r="AC195">
        <v>0.72099999999999997</v>
      </c>
      <c r="AD195">
        <v>33</v>
      </c>
      <c r="AE195">
        <v>0.22500000000000001</v>
      </c>
      <c r="AF195">
        <v>0.66700000000000004</v>
      </c>
      <c r="AG195">
        <f>(표1[[#This Row],[TB]]-표1[[#This Row],[H]])/표1[[#This Row],[AB]]</f>
        <v>0.10747663551401869</v>
      </c>
      <c r="AH195">
        <f>(표1[[#This Row],[TB]]-표1[[#This Row],[H]]+표1[[#This Row],[BB]]+표1[[#This Row],[SB]]-표1[[#This Row],[CS]])/표1[[#This Row],[AB]]</f>
        <v>0.20093457943925233</v>
      </c>
      <c r="AI195">
        <f>(표1[[#This Row],[TB]]+표1[[#This Row],[BB]]+표1[[#This Row],[HBP]]+표1[[#This Row],[SB]]-표1[[#This Row],[CS]])/(표1[[#This Row],[AB]]-표1[[#This Row],[H]]+표1[[#This Row],[CS]]+표1[[#This Row],[GDP]])</f>
        <v>0.6346749226006192</v>
      </c>
      <c r="AJ19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55.151120507399575</v>
      </c>
      <c r="AK195">
        <f>표1[[#This Row],[RC]]/((표1[[#This Row],[AB]]-표1[[#This Row],[H]]+표1[[#This Row],[SAC]]+표1[[#This Row],[SF]]+표1[[#This Row],[CS]]+표1[[#This Row],[GDP]])/27)</f>
        <v>4.5817853959993498</v>
      </c>
      <c r="AL19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0.31894243070362471</v>
      </c>
      <c r="AM19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54.113999999999997</v>
      </c>
    </row>
    <row r="196" spans="1:39" x14ac:dyDescent="0.3">
      <c r="A196" t="str">
        <f>_xlfn.CONCAT(표1[[#This Row],[Year]],표1[[#This Row],[Player]])</f>
        <v>2006송지만</v>
      </c>
      <c r="B196">
        <v>2006</v>
      </c>
      <c r="C196">
        <v>24</v>
      </c>
      <c r="D196" t="s">
        <v>62</v>
      </c>
      <c r="E196" t="s">
        <v>3</v>
      </c>
      <c r="F196">
        <v>0.27</v>
      </c>
      <c r="G196">
        <v>119</v>
      </c>
      <c r="H196">
        <v>510</v>
      </c>
      <c r="I196">
        <v>441</v>
      </c>
      <c r="J196">
        <v>76</v>
      </c>
      <c r="K196">
        <v>119</v>
      </c>
      <c r="L196">
        <f>표1[[#This Row],[H]]-표1[[#This Row],[2B]]-표1[[#This Row],[3B]]-표1[[#This Row],[HR]]</f>
        <v>87</v>
      </c>
      <c r="M196">
        <v>16</v>
      </c>
      <c r="N196">
        <v>0</v>
      </c>
      <c r="O196">
        <v>16</v>
      </c>
      <c r="P196">
        <v>183</v>
      </c>
      <c r="Q196">
        <v>53</v>
      </c>
      <c r="R196">
        <v>12</v>
      </c>
      <c r="S196">
        <v>1</v>
      </c>
      <c r="T196">
        <v>43</v>
      </c>
      <c r="U196">
        <v>1</v>
      </c>
      <c r="V196">
        <v>8</v>
      </c>
      <c r="W196">
        <v>3</v>
      </c>
      <c r="X196">
        <v>13</v>
      </c>
      <c r="Y196">
        <v>69</v>
      </c>
      <c r="Z196">
        <v>10</v>
      </c>
      <c r="AA196">
        <v>0.41499999999999998</v>
      </c>
      <c r="AB196">
        <v>0.35099999999999998</v>
      </c>
      <c r="AC196">
        <v>0.76600000000000001</v>
      </c>
      <c r="AD196">
        <v>32</v>
      </c>
      <c r="AE196">
        <v>0.29799999999999999</v>
      </c>
      <c r="AF196">
        <v>0</v>
      </c>
      <c r="AG196">
        <f>(표1[[#This Row],[TB]]-표1[[#This Row],[H]])/표1[[#This Row],[AB]]</f>
        <v>0.14512471655328799</v>
      </c>
      <c r="AH196">
        <f>(표1[[#This Row],[TB]]-표1[[#This Row],[H]]+표1[[#This Row],[BB]]+표1[[#This Row],[SB]]-표1[[#This Row],[CS]])/표1[[#This Row],[AB]]</f>
        <v>0.25396825396825395</v>
      </c>
      <c r="AI196">
        <f>(표1[[#This Row],[TB]]+표1[[#This Row],[BB]]+표1[[#This Row],[HBP]]+표1[[#This Row],[SB]]-표1[[#This Row],[CS]])/(표1[[#This Row],[AB]]-표1[[#This Row],[H]]+표1[[#This Row],[CS]]+표1[[#This Row],[GDP]])</f>
        <v>0.72835820895522385</v>
      </c>
      <c r="AJ19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66.140470588235289</v>
      </c>
      <c r="AK196">
        <f>표1[[#This Row],[RC]]/((표1[[#This Row],[AB]]-표1[[#This Row],[H]]+표1[[#This Row],[SAC]]+표1[[#This Row],[SF]]+표1[[#This Row],[CS]]+표1[[#This Row],[GDP]])/27)</f>
        <v>5.1315882352941173</v>
      </c>
      <c r="AL19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0.33874446680080483</v>
      </c>
      <c r="AM19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65.108000000000018</v>
      </c>
    </row>
    <row r="197" spans="1:39" x14ac:dyDescent="0.3">
      <c r="A197" t="str">
        <f>_xlfn.CONCAT(표1[[#This Row],[Year]],표1[[#This Row],[Player]])</f>
        <v>2006손시헌</v>
      </c>
      <c r="B197">
        <v>2006</v>
      </c>
      <c r="C197">
        <v>25</v>
      </c>
      <c r="D197" t="s">
        <v>71</v>
      </c>
      <c r="E197" t="s">
        <v>1</v>
      </c>
      <c r="F197">
        <v>0.26700000000000002</v>
      </c>
      <c r="G197">
        <v>126</v>
      </c>
      <c r="H197">
        <v>462</v>
      </c>
      <c r="I197">
        <v>404</v>
      </c>
      <c r="J197">
        <v>29</v>
      </c>
      <c r="K197">
        <v>108</v>
      </c>
      <c r="L197">
        <f>표1[[#This Row],[H]]-표1[[#This Row],[2B]]-표1[[#This Row],[3B]]-표1[[#This Row],[HR]]</f>
        <v>86</v>
      </c>
      <c r="M197">
        <v>16</v>
      </c>
      <c r="N197">
        <v>4</v>
      </c>
      <c r="O197">
        <v>2</v>
      </c>
      <c r="P197">
        <v>138</v>
      </c>
      <c r="Q197">
        <v>34</v>
      </c>
      <c r="R197">
        <v>11</v>
      </c>
      <c r="S197">
        <v>2</v>
      </c>
      <c r="T197">
        <v>35</v>
      </c>
      <c r="U197">
        <v>1</v>
      </c>
      <c r="V197">
        <v>2</v>
      </c>
      <c r="W197">
        <v>3</v>
      </c>
      <c r="X197">
        <v>10</v>
      </c>
      <c r="Y197">
        <v>48</v>
      </c>
      <c r="Z197">
        <v>5</v>
      </c>
      <c r="AA197">
        <v>0.34200000000000003</v>
      </c>
      <c r="AB197">
        <v>0.33900000000000002</v>
      </c>
      <c r="AC197">
        <v>0.68100000000000005</v>
      </c>
      <c r="AD197">
        <v>24</v>
      </c>
      <c r="AE197">
        <v>0.28599999999999998</v>
      </c>
      <c r="AF197">
        <v>0</v>
      </c>
      <c r="AG197">
        <f>(표1[[#This Row],[TB]]-표1[[#This Row],[H]])/표1[[#This Row],[AB]]</f>
        <v>7.4257425742574254E-2</v>
      </c>
      <c r="AH197">
        <f>(표1[[#This Row],[TB]]-표1[[#This Row],[H]]+표1[[#This Row],[BB]]+표1[[#This Row],[SB]]-표1[[#This Row],[CS]])/표1[[#This Row],[AB]]</f>
        <v>0.15841584158415842</v>
      </c>
      <c r="AI197">
        <f>(표1[[#This Row],[TB]]+표1[[#This Row],[BB]]+표1[[#This Row],[HBP]]+표1[[#This Row],[SB]]-표1[[#This Row],[CS]])/(표1[[#This Row],[AB]]-표1[[#This Row],[H]]+표1[[#This Row],[CS]]+표1[[#This Row],[GDP]])</f>
        <v>0.59868421052631582</v>
      </c>
      <c r="AJ19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49.350216450216458</v>
      </c>
      <c r="AK197">
        <f>표1[[#This Row],[RC]]/((표1[[#This Row],[AB]]-표1[[#This Row],[H]]+표1[[#This Row],[SAC]]+표1[[#This Row],[SF]]+표1[[#This Row],[CS]]+표1[[#This Row],[GDP]])/27)</f>
        <v>4.20333073866197</v>
      </c>
      <c r="AL19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0.3051955555555555</v>
      </c>
      <c r="AM19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48.475999999999999</v>
      </c>
    </row>
    <row r="198" spans="1:39" x14ac:dyDescent="0.3">
      <c r="A198" t="str">
        <f>_xlfn.CONCAT(표1[[#This Row],[Year]],표1[[#This Row],[Player]])</f>
        <v>2006조원우</v>
      </c>
      <c r="B198">
        <v>2006</v>
      </c>
      <c r="C198">
        <v>26</v>
      </c>
      <c r="D198" t="s">
        <v>32</v>
      </c>
      <c r="E198" t="s">
        <v>11</v>
      </c>
      <c r="F198">
        <v>0.26700000000000002</v>
      </c>
      <c r="G198">
        <v>106</v>
      </c>
      <c r="H198">
        <v>391</v>
      </c>
      <c r="I198">
        <v>341</v>
      </c>
      <c r="J198">
        <v>48</v>
      </c>
      <c r="K198">
        <v>91</v>
      </c>
      <c r="L198">
        <f>표1[[#This Row],[H]]-표1[[#This Row],[2B]]-표1[[#This Row],[3B]]-표1[[#This Row],[HR]]</f>
        <v>80</v>
      </c>
      <c r="M198">
        <v>10</v>
      </c>
      <c r="N198">
        <v>0</v>
      </c>
      <c r="O198">
        <v>1</v>
      </c>
      <c r="P198">
        <v>104</v>
      </c>
      <c r="Q198">
        <v>25</v>
      </c>
      <c r="R198">
        <v>11</v>
      </c>
      <c r="S198">
        <v>4</v>
      </c>
      <c r="T198">
        <v>30</v>
      </c>
      <c r="U198">
        <v>0</v>
      </c>
      <c r="V198">
        <v>6</v>
      </c>
      <c r="W198">
        <v>2</v>
      </c>
      <c r="X198">
        <v>5</v>
      </c>
      <c r="Y198">
        <v>45</v>
      </c>
      <c r="Z198">
        <v>6</v>
      </c>
      <c r="AA198">
        <v>0.30499999999999999</v>
      </c>
      <c r="AB198">
        <v>0.33200000000000002</v>
      </c>
      <c r="AC198">
        <v>0.63700000000000001</v>
      </c>
      <c r="AD198">
        <v>22</v>
      </c>
      <c r="AE198">
        <v>0.29199999999999998</v>
      </c>
      <c r="AF198">
        <v>0</v>
      </c>
      <c r="AG198">
        <f>(표1[[#This Row],[TB]]-표1[[#This Row],[H]])/표1[[#This Row],[AB]]</f>
        <v>3.8123167155425221E-2</v>
      </c>
      <c r="AH198">
        <f>(표1[[#This Row],[TB]]-표1[[#This Row],[H]]+표1[[#This Row],[BB]]+표1[[#This Row],[SB]]-표1[[#This Row],[CS]])/표1[[#This Row],[AB]]</f>
        <v>0.1378299120234604</v>
      </c>
      <c r="AI198">
        <f>(표1[[#This Row],[TB]]+표1[[#This Row],[BB]]+표1[[#This Row],[HBP]]+표1[[#This Row],[SB]]-표1[[#This Row],[CS]])/(표1[[#This Row],[AB]]-표1[[#This Row],[H]]+표1[[#This Row],[CS]]+표1[[#This Row],[GDP]])</f>
        <v>0.55426356589147285</v>
      </c>
      <c r="AJ19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37.428030690537078</v>
      </c>
      <c r="AK198">
        <f>표1[[#This Row],[RC]]/((표1[[#This Row],[AB]]-표1[[#This Row],[H]]+표1[[#This Row],[SAC]]+표1[[#This Row],[SF]]+표1[[#This Row],[CS]]+표1[[#This Row],[GDP]])/27)</f>
        <v>3.7016733649981726</v>
      </c>
      <c r="AL19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0.28865263157894733</v>
      </c>
      <c r="AM19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37.82</v>
      </c>
    </row>
    <row r="199" spans="1:39" x14ac:dyDescent="0.3">
      <c r="A199" t="str">
        <f>_xlfn.CONCAT(표1[[#This Row],[Year]],표1[[#This Row],[Player]])</f>
        <v>2006서튼</v>
      </c>
      <c r="B199">
        <v>2006</v>
      </c>
      <c r="C199">
        <v>27</v>
      </c>
      <c r="D199" t="s">
        <v>68</v>
      </c>
      <c r="E199" t="s">
        <v>3</v>
      </c>
      <c r="F199">
        <v>0.26600000000000001</v>
      </c>
      <c r="G199">
        <v>93</v>
      </c>
      <c r="H199">
        <v>394</v>
      </c>
      <c r="I199">
        <v>331</v>
      </c>
      <c r="J199">
        <v>50</v>
      </c>
      <c r="K199">
        <v>88</v>
      </c>
      <c r="L199">
        <f>표1[[#This Row],[H]]-표1[[#This Row],[2B]]-표1[[#This Row],[3B]]-표1[[#This Row],[HR]]</f>
        <v>51</v>
      </c>
      <c r="M199">
        <v>18</v>
      </c>
      <c r="N199">
        <v>1</v>
      </c>
      <c r="O199">
        <v>18</v>
      </c>
      <c r="P199">
        <v>162</v>
      </c>
      <c r="Q199">
        <v>61</v>
      </c>
      <c r="R199">
        <v>0</v>
      </c>
      <c r="S199">
        <v>2</v>
      </c>
      <c r="T199">
        <v>59</v>
      </c>
      <c r="U199">
        <v>2</v>
      </c>
      <c r="V199">
        <v>0</v>
      </c>
      <c r="W199">
        <v>0</v>
      </c>
      <c r="X199">
        <v>2</v>
      </c>
      <c r="Y199">
        <v>72</v>
      </c>
      <c r="Z199">
        <v>9</v>
      </c>
      <c r="AA199">
        <v>0.48899999999999999</v>
      </c>
      <c r="AB199">
        <v>0.378</v>
      </c>
      <c r="AC199">
        <v>0.86699999999999999</v>
      </c>
      <c r="AD199">
        <v>20</v>
      </c>
      <c r="AE199">
        <v>0.20799999999999999</v>
      </c>
      <c r="AF199">
        <v>0</v>
      </c>
      <c r="AG199">
        <f>(표1[[#This Row],[TB]]-표1[[#This Row],[H]])/표1[[#This Row],[AB]]</f>
        <v>0.22356495468277945</v>
      </c>
      <c r="AH199">
        <f>(표1[[#This Row],[TB]]-표1[[#This Row],[H]]+표1[[#This Row],[BB]]+표1[[#This Row],[SB]]-표1[[#This Row],[CS]])/표1[[#This Row],[AB]]</f>
        <v>0.40181268882175225</v>
      </c>
      <c r="AI199">
        <f>(표1[[#This Row],[TB]]+표1[[#This Row],[BB]]+표1[[#This Row],[HBP]]+표1[[#This Row],[SB]]-표1[[#This Row],[CS]])/(표1[[#This Row],[AB]]-표1[[#This Row],[H]]+표1[[#This Row],[CS]]+표1[[#This Row],[GDP]])</f>
        <v>0.88492063492063489</v>
      </c>
      <c r="AJ19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63.383756345177666</v>
      </c>
      <c r="AK199">
        <f>표1[[#This Row],[RC]]/((표1[[#This Row],[AB]]-표1[[#This Row],[H]]+표1[[#This Row],[SAC]]+표1[[#This Row],[SF]]+표1[[#This Row],[CS]]+표1[[#This Row],[GDP]])/27)</f>
        <v>6.7376433910228233</v>
      </c>
      <c r="AL19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0.37545408163265304</v>
      </c>
      <c r="AM19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60.94400000000001</v>
      </c>
    </row>
    <row r="200" spans="1:39" x14ac:dyDescent="0.3">
      <c r="A200" t="str">
        <f>_xlfn.CONCAT(표1[[#This Row],[Year]],표1[[#This Row],[Player]])</f>
        <v>2006조동찬</v>
      </c>
      <c r="B200">
        <v>2006</v>
      </c>
      <c r="C200">
        <v>28</v>
      </c>
      <c r="D200" t="s">
        <v>72</v>
      </c>
      <c r="E200" t="s">
        <v>6</v>
      </c>
      <c r="F200">
        <v>0.25900000000000001</v>
      </c>
      <c r="G200">
        <v>107</v>
      </c>
      <c r="H200">
        <v>421</v>
      </c>
      <c r="I200">
        <v>370</v>
      </c>
      <c r="J200">
        <v>51</v>
      </c>
      <c r="K200">
        <v>96</v>
      </c>
      <c r="L200">
        <f>표1[[#This Row],[H]]-표1[[#This Row],[2B]]-표1[[#This Row],[3B]]-표1[[#This Row],[HR]]</f>
        <v>73</v>
      </c>
      <c r="M200">
        <v>13</v>
      </c>
      <c r="N200">
        <v>0</v>
      </c>
      <c r="O200">
        <v>10</v>
      </c>
      <c r="P200">
        <v>139</v>
      </c>
      <c r="Q200">
        <v>46</v>
      </c>
      <c r="R200">
        <v>15</v>
      </c>
      <c r="S200">
        <v>1</v>
      </c>
      <c r="T200">
        <v>29</v>
      </c>
      <c r="U200">
        <v>0</v>
      </c>
      <c r="V200">
        <v>20</v>
      </c>
      <c r="W200">
        <v>4</v>
      </c>
      <c r="X200">
        <v>6</v>
      </c>
      <c r="Y200">
        <v>80</v>
      </c>
      <c r="Z200">
        <v>9</v>
      </c>
      <c r="AA200">
        <v>0.376</v>
      </c>
      <c r="AB200">
        <v>0.32300000000000001</v>
      </c>
      <c r="AC200">
        <v>0.69899999999999995</v>
      </c>
      <c r="AD200">
        <v>26</v>
      </c>
      <c r="AE200">
        <v>0.22900000000000001</v>
      </c>
      <c r="AF200">
        <v>0</v>
      </c>
      <c r="AG200">
        <f>(표1[[#This Row],[TB]]-표1[[#This Row],[H]])/표1[[#This Row],[AB]]</f>
        <v>0.11621621621621622</v>
      </c>
      <c r="AH200">
        <f>(표1[[#This Row],[TB]]-표1[[#This Row],[H]]+표1[[#This Row],[BB]]+표1[[#This Row],[SB]]-표1[[#This Row],[CS]])/표1[[#This Row],[AB]]</f>
        <v>0.23783783783783785</v>
      </c>
      <c r="AI200">
        <f>(표1[[#This Row],[TB]]+표1[[#This Row],[BB]]+표1[[#This Row],[HBP]]+표1[[#This Row],[SB]]-표1[[#This Row],[CS]])/(표1[[#This Row],[AB]]-표1[[#This Row],[H]]+표1[[#This Row],[CS]]+표1[[#This Row],[GDP]])</f>
        <v>0.66202090592334495</v>
      </c>
      <c r="AJ20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46.757149643705461</v>
      </c>
      <c r="AK200">
        <f>표1[[#This Row],[RC]]/((표1[[#This Row],[AB]]-표1[[#This Row],[H]]+표1[[#This Row],[SAC]]+표1[[#This Row],[SF]]+표1[[#This Row],[CS]]+표1[[#This Row],[GDP]])/27)</f>
        <v>4.1664786811222694</v>
      </c>
      <c r="AL20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0.30991133004926102</v>
      </c>
      <c r="AM20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46.819999999999993</v>
      </c>
    </row>
    <row r="201" spans="1:39" x14ac:dyDescent="0.3">
      <c r="A201" t="str">
        <f>_xlfn.CONCAT(표1[[#This Row],[Year]],표1[[#This Row],[Player]])</f>
        <v>2006박재홍</v>
      </c>
      <c r="B201">
        <v>2006</v>
      </c>
      <c r="C201">
        <v>29</v>
      </c>
      <c r="D201" t="s">
        <v>18</v>
      </c>
      <c r="E201" t="s">
        <v>8</v>
      </c>
      <c r="F201">
        <v>0.25900000000000001</v>
      </c>
      <c r="G201">
        <v>124</v>
      </c>
      <c r="H201">
        <v>529</v>
      </c>
      <c r="I201">
        <v>452</v>
      </c>
      <c r="J201">
        <v>61</v>
      </c>
      <c r="K201">
        <v>117</v>
      </c>
      <c r="L201">
        <f>표1[[#This Row],[H]]-표1[[#This Row],[2B]]-표1[[#This Row],[3B]]-표1[[#This Row],[HR]]</f>
        <v>76</v>
      </c>
      <c r="M201">
        <v>22</v>
      </c>
      <c r="N201">
        <v>1</v>
      </c>
      <c r="O201">
        <v>18</v>
      </c>
      <c r="P201">
        <v>195</v>
      </c>
      <c r="Q201">
        <v>73</v>
      </c>
      <c r="R201">
        <v>2</v>
      </c>
      <c r="S201">
        <v>6</v>
      </c>
      <c r="T201">
        <v>63</v>
      </c>
      <c r="U201">
        <v>4</v>
      </c>
      <c r="V201">
        <v>22</v>
      </c>
      <c r="W201">
        <v>8</v>
      </c>
      <c r="X201">
        <v>6</v>
      </c>
      <c r="Y201">
        <v>87</v>
      </c>
      <c r="Z201">
        <v>13</v>
      </c>
      <c r="AA201">
        <v>0.43099999999999999</v>
      </c>
      <c r="AB201">
        <v>0.35299999999999998</v>
      </c>
      <c r="AC201">
        <v>0.78400000000000003</v>
      </c>
      <c r="AD201">
        <v>30</v>
      </c>
      <c r="AE201">
        <v>0.28699999999999998</v>
      </c>
      <c r="AF201">
        <v>0</v>
      </c>
      <c r="AG201">
        <f>(표1[[#This Row],[TB]]-표1[[#This Row],[H]])/표1[[#This Row],[AB]]</f>
        <v>0.17256637168141592</v>
      </c>
      <c r="AH201">
        <f>(표1[[#This Row],[TB]]-표1[[#This Row],[H]]+표1[[#This Row],[BB]]+표1[[#This Row],[SB]]-표1[[#This Row],[CS]])/표1[[#This Row],[AB]]</f>
        <v>0.34292035398230086</v>
      </c>
      <c r="AI201">
        <f>(표1[[#This Row],[TB]]+표1[[#This Row],[BB]]+표1[[#This Row],[HBP]]+표1[[#This Row],[SB]]-표1[[#This Row],[CS]])/(표1[[#This Row],[AB]]-표1[[#This Row],[H]]+표1[[#This Row],[CS]]+표1[[#This Row],[GDP]])</f>
        <v>0.7808988764044944</v>
      </c>
      <c r="AJ20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70.959357277882802</v>
      </c>
      <c r="AK201">
        <f>표1[[#This Row],[RC]]/((표1[[#This Row],[AB]]-표1[[#This Row],[H]]+표1[[#This Row],[SAC]]+표1[[#This Row],[SF]]+표1[[#This Row],[CS]]+표1[[#This Row],[GDP]])/27)</f>
        <v>5.2634688090737249</v>
      </c>
      <c r="AL20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0.34144550669216056</v>
      </c>
      <c r="AM20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71.944000000000003</v>
      </c>
    </row>
    <row r="202" spans="1:39" x14ac:dyDescent="0.3">
      <c r="A202" t="str">
        <f>_xlfn.CONCAT(표1[[#This Row],[Year]],표1[[#This Row],[Player]])</f>
        <v>2006이범호</v>
      </c>
      <c r="B202">
        <v>2006</v>
      </c>
      <c r="C202">
        <v>30</v>
      </c>
      <c r="D202" t="s">
        <v>53</v>
      </c>
      <c r="E202" t="s">
        <v>11</v>
      </c>
      <c r="F202">
        <v>0.25700000000000001</v>
      </c>
      <c r="G202">
        <v>126</v>
      </c>
      <c r="H202">
        <v>497</v>
      </c>
      <c r="I202">
        <v>421</v>
      </c>
      <c r="J202">
        <v>53</v>
      </c>
      <c r="K202">
        <v>108</v>
      </c>
      <c r="L202">
        <f>표1[[#This Row],[H]]-표1[[#This Row],[2B]]-표1[[#This Row],[3B]]-표1[[#This Row],[HR]]</f>
        <v>62</v>
      </c>
      <c r="M202">
        <v>25</v>
      </c>
      <c r="N202">
        <v>1</v>
      </c>
      <c r="O202">
        <v>20</v>
      </c>
      <c r="P202">
        <v>195</v>
      </c>
      <c r="Q202">
        <v>73</v>
      </c>
      <c r="R202">
        <v>1</v>
      </c>
      <c r="S202">
        <v>3</v>
      </c>
      <c r="T202">
        <v>65</v>
      </c>
      <c r="U202">
        <v>2</v>
      </c>
      <c r="V202">
        <v>0</v>
      </c>
      <c r="W202">
        <v>2</v>
      </c>
      <c r="X202">
        <v>7</v>
      </c>
      <c r="Y202">
        <v>87</v>
      </c>
      <c r="Z202">
        <v>11</v>
      </c>
      <c r="AA202">
        <v>0.46300000000000002</v>
      </c>
      <c r="AB202">
        <v>0.36299999999999999</v>
      </c>
      <c r="AC202">
        <v>0.82599999999999996</v>
      </c>
      <c r="AD202">
        <v>27</v>
      </c>
      <c r="AE202">
        <v>0.26100000000000001</v>
      </c>
      <c r="AF202">
        <v>0</v>
      </c>
      <c r="AG202">
        <f>(표1[[#This Row],[TB]]-표1[[#This Row],[H]])/표1[[#This Row],[AB]]</f>
        <v>0.20665083135391923</v>
      </c>
      <c r="AH202">
        <f>(표1[[#This Row],[TB]]-표1[[#This Row],[H]]+표1[[#This Row],[BB]]+표1[[#This Row],[SB]]-표1[[#This Row],[CS]])/표1[[#This Row],[AB]]</f>
        <v>0.35629453681710216</v>
      </c>
      <c r="AI202">
        <f>(표1[[#This Row],[TB]]+표1[[#This Row],[BB]]+표1[[#This Row],[HBP]]+표1[[#This Row],[SB]]-표1[[#This Row],[CS]])/(표1[[#This Row],[AB]]-표1[[#This Row],[H]]+표1[[#This Row],[CS]]+표1[[#This Row],[GDP]])</f>
        <v>0.81288343558282206</v>
      </c>
      <c r="AJ20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72.337545271629779</v>
      </c>
      <c r="AK202">
        <f>표1[[#This Row],[RC]]/((표1[[#This Row],[AB]]-표1[[#This Row],[H]]+표1[[#This Row],[SAC]]+표1[[#This Row],[SF]]+표1[[#This Row],[CS]]+표1[[#This Row],[GDP]])/27)</f>
        <v>5.918526431315164</v>
      </c>
      <c r="AL20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0.35945951417004046</v>
      </c>
      <c r="AM20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70.713999999999999</v>
      </c>
    </row>
    <row r="203" spans="1:39" x14ac:dyDescent="0.3">
      <c r="A203" t="str">
        <f>_xlfn.CONCAT(표1[[#This Row],[Year]],표1[[#This Row],[Player]])</f>
        <v>2006이도형</v>
      </c>
      <c r="B203">
        <v>2006</v>
      </c>
      <c r="C203">
        <v>31</v>
      </c>
      <c r="D203" t="s">
        <v>40</v>
      </c>
      <c r="E203" t="s">
        <v>11</v>
      </c>
      <c r="F203">
        <v>0.25600000000000001</v>
      </c>
      <c r="G203">
        <v>119</v>
      </c>
      <c r="H203">
        <v>466</v>
      </c>
      <c r="I203">
        <v>426</v>
      </c>
      <c r="J203">
        <v>46</v>
      </c>
      <c r="K203">
        <v>109</v>
      </c>
      <c r="L203">
        <f>표1[[#This Row],[H]]-표1[[#This Row],[2B]]-표1[[#This Row],[3B]]-표1[[#This Row],[HR]]</f>
        <v>68</v>
      </c>
      <c r="M203">
        <v>22</v>
      </c>
      <c r="N203">
        <v>0</v>
      </c>
      <c r="O203">
        <v>19</v>
      </c>
      <c r="P203">
        <v>188</v>
      </c>
      <c r="Q203">
        <v>63</v>
      </c>
      <c r="R203">
        <v>5</v>
      </c>
      <c r="S203">
        <v>3</v>
      </c>
      <c r="T203">
        <v>26</v>
      </c>
      <c r="U203">
        <v>0</v>
      </c>
      <c r="V203">
        <v>0</v>
      </c>
      <c r="W203">
        <v>2</v>
      </c>
      <c r="X203">
        <v>6</v>
      </c>
      <c r="Y203">
        <v>68</v>
      </c>
      <c r="Z203">
        <v>7</v>
      </c>
      <c r="AA203">
        <v>0.441</v>
      </c>
      <c r="AB203">
        <v>0.30599999999999999</v>
      </c>
      <c r="AC203">
        <v>0.747</v>
      </c>
      <c r="AD203">
        <v>29</v>
      </c>
      <c r="AE203">
        <v>0.20799999999999999</v>
      </c>
      <c r="AF203">
        <v>0.25</v>
      </c>
      <c r="AG203">
        <f>(표1[[#This Row],[TB]]-표1[[#This Row],[H]])/표1[[#This Row],[AB]]</f>
        <v>0.18544600938967137</v>
      </c>
      <c r="AH203">
        <f>(표1[[#This Row],[TB]]-표1[[#This Row],[H]]+표1[[#This Row],[BB]]+표1[[#This Row],[SB]]-표1[[#This Row],[CS]])/표1[[#This Row],[AB]]</f>
        <v>0.24178403755868544</v>
      </c>
      <c r="AI203">
        <f>(표1[[#This Row],[TB]]+표1[[#This Row],[BB]]+표1[[#This Row],[HBP]]+표1[[#This Row],[SB]]-표1[[#This Row],[CS]])/(표1[[#This Row],[AB]]-표1[[#This Row],[H]]+표1[[#This Row],[CS]]+표1[[#This Row],[GDP]])</f>
        <v>0.66871165644171782</v>
      </c>
      <c r="AJ20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56.788326180257506</v>
      </c>
      <c r="AK203">
        <f>표1[[#This Row],[RC]]/((표1[[#This Row],[AB]]-표1[[#This Row],[H]]+표1[[#This Row],[SAC]]+표1[[#This Row],[SF]]+표1[[#This Row],[CS]]+표1[[#This Row],[GDP]])/27)</f>
        <v>4.5906730744519537</v>
      </c>
      <c r="AL20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0.32357049891540129</v>
      </c>
      <c r="AM20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57.085999999999999</v>
      </c>
    </row>
    <row r="204" spans="1:39" x14ac:dyDescent="0.3">
      <c r="A204" t="str">
        <f>_xlfn.CONCAT(표1[[#This Row],[Year]],표1[[#This Row],[Player]])</f>
        <v>2006김한수</v>
      </c>
      <c r="B204">
        <v>2006</v>
      </c>
      <c r="C204">
        <v>32</v>
      </c>
      <c r="D204" t="s">
        <v>21</v>
      </c>
      <c r="E204" t="s">
        <v>6</v>
      </c>
      <c r="F204">
        <v>0.254</v>
      </c>
      <c r="G204">
        <v>103</v>
      </c>
      <c r="H204">
        <v>396</v>
      </c>
      <c r="I204">
        <v>343</v>
      </c>
      <c r="J204">
        <v>41</v>
      </c>
      <c r="K204">
        <v>87</v>
      </c>
      <c r="L204">
        <f>표1[[#This Row],[H]]-표1[[#This Row],[2B]]-표1[[#This Row],[3B]]-표1[[#This Row],[HR]]</f>
        <v>65</v>
      </c>
      <c r="M204">
        <v>15</v>
      </c>
      <c r="N204">
        <v>0</v>
      </c>
      <c r="O204">
        <v>7</v>
      </c>
      <c r="P204">
        <v>123</v>
      </c>
      <c r="Q204">
        <v>54</v>
      </c>
      <c r="R204">
        <v>2</v>
      </c>
      <c r="S204">
        <v>4</v>
      </c>
      <c r="T204">
        <v>32</v>
      </c>
      <c r="U204">
        <v>0</v>
      </c>
      <c r="V204">
        <v>6</v>
      </c>
      <c r="W204">
        <v>3</v>
      </c>
      <c r="X204">
        <v>15</v>
      </c>
      <c r="Y204">
        <v>54</v>
      </c>
      <c r="Z204">
        <v>12</v>
      </c>
      <c r="AA204">
        <v>0.35899999999999999</v>
      </c>
      <c r="AB204">
        <v>0.34</v>
      </c>
      <c r="AC204">
        <v>0.69899999999999995</v>
      </c>
      <c r="AD204">
        <v>18</v>
      </c>
      <c r="AE204">
        <v>0.28199999999999997</v>
      </c>
      <c r="AF204">
        <v>0</v>
      </c>
      <c r="AG204">
        <f>(표1[[#This Row],[TB]]-표1[[#This Row],[H]])/표1[[#This Row],[AB]]</f>
        <v>0.10495626822157435</v>
      </c>
      <c r="AH204">
        <f>(표1[[#This Row],[TB]]-표1[[#This Row],[H]]+표1[[#This Row],[BB]]+표1[[#This Row],[SB]]-표1[[#This Row],[CS]])/표1[[#This Row],[AB]]</f>
        <v>0.20699708454810495</v>
      </c>
      <c r="AI204">
        <f>(표1[[#This Row],[TB]]+표1[[#This Row],[BB]]+표1[[#This Row],[HBP]]+표1[[#This Row],[SB]]-표1[[#This Row],[CS]])/(표1[[#This Row],[AB]]-표1[[#This Row],[H]]+표1[[#This Row],[CS]]+표1[[#This Row],[GDP]])</f>
        <v>0.63837638376383765</v>
      </c>
      <c r="AJ20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42.509444444444448</v>
      </c>
      <c r="AK204">
        <f>표1[[#This Row],[RC]]/((표1[[#This Row],[AB]]-표1[[#This Row],[H]]+표1[[#This Row],[SAC]]+표1[[#This Row],[SF]]+표1[[#This Row],[CS]]+표1[[#This Row],[GDP]])/27)</f>
        <v>4.1435198555956685</v>
      </c>
      <c r="AL20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0.31386548223350258</v>
      </c>
      <c r="AM20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43.127999999999986</v>
      </c>
    </row>
    <row r="205" spans="1:39" x14ac:dyDescent="0.3">
      <c r="A205" t="str">
        <f>_xlfn.CONCAT(표1[[#This Row],[Year]],표1[[#This Row],[Player]])</f>
        <v>2006이대수</v>
      </c>
      <c r="B205">
        <v>2006</v>
      </c>
      <c r="C205">
        <v>33</v>
      </c>
      <c r="D205" t="s">
        <v>82</v>
      </c>
      <c r="E205" t="s">
        <v>8</v>
      </c>
      <c r="F205">
        <v>0.253</v>
      </c>
      <c r="G205">
        <v>122</v>
      </c>
      <c r="H205">
        <v>428</v>
      </c>
      <c r="I205">
        <v>387</v>
      </c>
      <c r="J205">
        <v>46</v>
      </c>
      <c r="K205">
        <v>98</v>
      </c>
      <c r="L205">
        <f>표1[[#This Row],[H]]-표1[[#This Row],[2B]]-표1[[#This Row],[3B]]-표1[[#This Row],[HR]]</f>
        <v>74</v>
      </c>
      <c r="M205">
        <v>15</v>
      </c>
      <c r="N205">
        <v>4</v>
      </c>
      <c r="O205">
        <v>5</v>
      </c>
      <c r="P205">
        <v>136</v>
      </c>
      <c r="Q205">
        <v>26</v>
      </c>
      <c r="R205">
        <v>11</v>
      </c>
      <c r="S205">
        <v>0</v>
      </c>
      <c r="T205">
        <v>25</v>
      </c>
      <c r="U205">
        <v>0</v>
      </c>
      <c r="V205">
        <v>5</v>
      </c>
      <c r="W205">
        <v>1</v>
      </c>
      <c r="X205">
        <v>5</v>
      </c>
      <c r="Y205">
        <v>68</v>
      </c>
      <c r="Z205">
        <v>6</v>
      </c>
      <c r="AA205">
        <v>0.35099999999999998</v>
      </c>
      <c r="AB205">
        <v>0.307</v>
      </c>
      <c r="AC205">
        <v>0.65800000000000003</v>
      </c>
      <c r="AD205">
        <v>26</v>
      </c>
      <c r="AE205">
        <v>0.14899999999999999</v>
      </c>
      <c r="AF205">
        <v>0</v>
      </c>
      <c r="AG205">
        <f>(표1[[#This Row],[TB]]-표1[[#This Row],[H]])/표1[[#This Row],[AB]]</f>
        <v>9.8191214470284241E-2</v>
      </c>
      <c r="AH205">
        <f>(표1[[#This Row],[TB]]-표1[[#This Row],[H]]+표1[[#This Row],[BB]]+표1[[#This Row],[SB]]-표1[[#This Row],[CS]])/표1[[#This Row],[AB]]</f>
        <v>0.1731266149870801</v>
      </c>
      <c r="AI205">
        <f>(표1[[#This Row],[TB]]+표1[[#This Row],[BB]]+표1[[#This Row],[HBP]]+표1[[#This Row],[SB]]-표1[[#This Row],[CS]])/(표1[[#This Row],[AB]]-표1[[#This Row],[H]]+표1[[#This Row],[CS]]+표1[[#This Row],[GDP]])</f>
        <v>0.57432432432432434</v>
      </c>
      <c r="AJ20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43.005887850467289</v>
      </c>
      <c r="AK205">
        <f>표1[[#This Row],[RC]]/((표1[[#This Row],[AB]]-표1[[#This Row],[H]]+표1[[#This Row],[SAC]]+표1[[#This Row],[SF]]+표1[[#This Row],[CS]]+표1[[#This Row],[GDP]])/27)</f>
        <v>3.7822767816371883</v>
      </c>
      <c r="AL20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0.29212949640287766</v>
      </c>
      <c r="AM20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41.605999999999987</v>
      </c>
    </row>
    <row r="206" spans="1:39" x14ac:dyDescent="0.3">
      <c r="A206" t="str">
        <f>_xlfn.CONCAT(표1[[#This Row],[Year]],표1[[#This Row],[Player]])</f>
        <v>2006강민호</v>
      </c>
      <c r="B206">
        <v>2006</v>
      </c>
      <c r="C206">
        <v>34</v>
      </c>
      <c r="D206" t="s">
        <v>83</v>
      </c>
      <c r="E206" t="s">
        <v>17</v>
      </c>
      <c r="F206">
        <v>0.251</v>
      </c>
      <c r="G206">
        <v>126</v>
      </c>
      <c r="H206">
        <v>460</v>
      </c>
      <c r="I206">
        <v>410</v>
      </c>
      <c r="J206">
        <v>40</v>
      </c>
      <c r="K206">
        <v>103</v>
      </c>
      <c r="L206">
        <f>표1[[#This Row],[H]]-표1[[#This Row],[2B]]-표1[[#This Row],[3B]]-표1[[#This Row],[HR]]</f>
        <v>74</v>
      </c>
      <c r="M206">
        <v>20</v>
      </c>
      <c r="N206">
        <v>0</v>
      </c>
      <c r="O206">
        <v>9</v>
      </c>
      <c r="P206">
        <v>150</v>
      </c>
      <c r="Q206">
        <v>53</v>
      </c>
      <c r="R206">
        <v>14</v>
      </c>
      <c r="S206">
        <v>2</v>
      </c>
      <c r="T206">
        <v>23</v>
      </c>
      <c r="U206">
        <v>2</v>
      </c>
      <c r="V206">
        <v>4</v>
      </c>
      <c r="W206">
        <v>1</v>
      </c>
      <c r="X206">
        <v>11</v>
      </c>
      <c r="Y206">
        <v>78</v>
      </c>
      <c r="Z206">
        <v>5</v>
      </c>
      <c r="AA206">
        <v>0.36599999999999999</v>
      </c>
      <c r="AB206">
        <v>0.307</v>
      </c>
      <c r="AC206">
        <v>0.67300000000000004</v>
      </c>
      <c r="AD206">
        <v>25</v>
      </c>
      <c r="AE206">
        <v>0.308</v>
      </c>
      <c r="AF206">
        <v>0</v>
      </c>
      <c r="AG206">
        <f>(표1[[#This Row],[TB]]-표1[[#This Row],[H]])/표1[[#This Row],[AB]]</f>
        <v>0.11463414634146342</v>
      </c>
      <c r="AH206">
        <f>(표1[[#This Row],[TB]]-표1[[#This Row],[H]]+표1[[#This Row],[BB]]+표1[[#This Row],[SB]]-표1[[#This Row],[CS]])/표1[[#This Row],[AB]]</f>
        <v>0.17804878048780487</v>
      </c>
      <c r="AI206">
        <f>(표1[[#This Row],[TB]]+표1[[#This Row],[BB]]+표1[[#This Row],[HBP]]+표1[[#This Row],[SB]]-표1[[#This Row],[CS]])/(표1[[#This Row],[AB]]-표1[[#This Row],[H]]+표1[[#This Row],[CS]]+표1[[#This Row],[GDP]])</f>
        <v>0.597444089456869</v>
      </c>
      <c r="AJ20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48.048521739130436</v>
      </c>
      <c r="AK206">
        <f>표1[[#This Row],[RC]]/((표1[[#This Row],[AB]]-표1[[#This Row],[H]]+표1[[#This Row],[SAC]]+표1[[#This Row],[SF]]+표1[[#This Row],[CS]]+표1[[#This Row],[GDP]])/27)</f>
        <v>3.9431917536672394</v>
      </c>
      <c r="AL20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0.29624099099099099</v>
      </c>
      <c r="AM20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47.336000000000006</v>
      </c>
    </row>
    <row r="207" spans="1:39" x14ac:dyDescent="0.3">
      <c r="A207" t="str">
        <f>_xlfn.CONCAT(표1[[#This Row],[Year]],표1[[#This Row],[Player]])</f>
        <v>2006강동우</v>
      </c>
      <c r="B207">
        <v>2006</v>
      </c>
      <c r="C207">
        <v>35</v>
      </c>
      <c r="D207" t="s">
        <v>39</v>
      </c>
      <c r="E207" t="s">
        <v>1</v>
      </c>
      <c r="F207">
        <v>0.249</v>
      </c>
      <c r="G207">
        <v>118</v>
      </c>
      <c r="H207">
        <v>456</v>
      </c>
      <c r="I207">
        <v>393</v>
      </c>
      <c r="J207">
        <v>36</v>
      </c>
      <c r="K207">
        <v>98</v>
      </c>
      <c r="L207">
        <f>표1[[#This Row],[H]]-표1[[#This Row],[2B]]-표1[[#This Row],[3B]]-표1[[#This Row],[HR]]</f>
        <v>82</v>
      </c>
      <c r="M207">
        <v>12</v>
      </c>
      <c r="N207">
        <v>2</v>
      </c>
      <c r="O207">
        <v>2</v>
      </c>
      <c r="P207">
        <v>120</v>
      </c>
      <c r="Q207">
        <v>34</v>
      </c>
      <c r="R207">
        <v>9</v>
      </c>
      <c r="S207">
        <v>4</v>
      </c>
      <c r="T207">
        <v>47</v>
      </c>
      <c r="U207">
        <v>2</v>
      </c>
      <c r="V207">
        <v>8</v>
      </c>
      <c r="W207">
        <v>6</v>
      </c>
      <c r="X207">
        <v>2</v>
      </c>
      <c r="Y207">
        <v>54</v>
      </c>
      <c r="Z207">
        <v>9</v>
      </c>
      <c r="AA207">
        <v>0.30499999999999999</v>
      </c>
      <c r="AB207">
        <v>0.33</v>
      </c>
      <c r="AC207">
        <v>0.63500000000000001</v>
      </c>
      <c r="AD207">
        <v>27</v>
      </c>
      <c r="AE207">
        <v>0.214</v>
      </c>
      <c r="AF207">
        <v>0</v>
      </c>
      <c r="AG207">
        <f>(표1[[#This Row],[TB]]-표1[[#This Row],[H]])/표1[[#This Row],[AB]]</f>
        <v>5.5979643765903309E-2</v>
      </c>
      <c r="AH207">
        <f>(표1[[#This Row],[TB]]-표1[[#This Row],[H]]+표1[[#This Row],[BB]]+표1[[#This Row],[SB]]-표1[[#This Row],[CS]])/표1[[#This Row],[AB]]</f>
        <v>0.1806615776081425</v>
      </c>
      <c r="AI207">
        <f>(표1[[#This Row],[TB]]+표1[[#This Row],[BB]]+표1[[#This Row],[HBP]]+표1[[#This Row],[SB]]-표1[[#This Row],[CS]])/(표1[[#This Row],[AB]]-표1[[#This Row],[H]]+표1[[#This Row],[CS]]+표1[[#This Row],[GDP]])</f>
        <v>0.55161290322580647</v>
      </c>
      <c r="AJ20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41.526329670329666</v>
      </c>
      <c r="AK207">
        <f>표1[[#This Row],[RC]]/((표1[[#This Row],[AB]]-표1[[#This Row],[H]]+표1[[#This Row],[SAC]]+표1[[#This Row],[SF]]+표1[[#This Row],[CS]]+표1[[#This Row],[GDP]])/27)</f>
        <v>3.471241179872758</v>
      </c>
      <c r="AL20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0.28696621621621621</v>
      </c>
      <c r="AM20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42.127999999999993</v>
      </c>
    </row>
    <row r="208" spans="1:39" x14ac:dyDescent="0.3">
      <c r="A208" t="str">
        <f>_xlfn.CONCAT(표1[[#This Row],[Year]],표1[[#This Row],[Player]])</f>
        <v>2006고동진</v>
      </c>
      <c r="B208">
        <v>2006</v>
      </c>
      <c r="C208">
        <v>36</v>
      </c>
      <c r="D208" t="s">
        <v>84</v>
      </c>
      <c r="E208" t="s">
        <v>11</v>
      </c>
      <c r="F208">
        <v>0.24099999999999999</v>
      </c>
      <c r="G208">
        <v>120</v>
      </c>
      <c r="H208">
        <v>414</v>
      </c>
      <c r="I208">
        <v>370</v>
      </c>
      <c r="J208">
        <v>40</v>
      </c>
      <c r="K208">
        <v>89</v>
      </c>
      <c r="L208">
        <f>표1[[#This Row],[H]]-표1[[#This Row],[2B]]-표1[[#This Row],[3B]]-표1[[#This Row],[HR]]</f>
        <v>69</v>
      </c>
      <c r="M208">
        <v>14</v>
      </c>
      <c r="N208">
        <v>2</v>
      </c>
      <c r="O208">
        <v>4</v>
      </c>
      <c r="P208">
        <v>119</v>
      </c>
      <c r="Q208">
        <v>29</v>
      </c>
      <c r="R208">
        <v>6</v>
      </c>
      <c r="S208">
        <v>5</v>
      </c>
      <c r="T208">
        <v>21</v>
      </c>
      <c r="U208">
        <v>1</v>
      </c>
      <c r="V208">
        <v>16</v>
      </c>
      <c r="W208">
        <v>4</v>
      </c>
      <c r="X208">
        <v>12</v>
      </c>
      <c r="Y208">
        <v>80</v>
      </c>
      <c r="Z208">
        <v>6</v>
      </c>
      <c r="AA208">
        <v>0.32200000000000001</v>
      </c>
      <c r="AB208">
        <v>0.29899999999999999</v>
      </c>
      <c r="AC208">
        <v>0.621</v>
      </c>
      <c r="AD208">
        <v>19</v>
      </c>
      <c r="AE208">
        <v>0.21299999999999999</v>
      </c>
      <c r="AF208">
        <v>0.5</v>
      </c>
      <c r="AG208">
        <f>(표1[[#This Row],[TB]]-표1[[#This Row],[H]])/표1[[#This Row],[AB]]</f>
        <v>8.1081081081081086E-2</v>
      </c>
      <c r="AH208">
        <f>(표1[[#This Row],[TB]]-표1[[#This Row],[H]]+표1[[#This Row],[BB]]+표1[[#This Row],[SB]]-표1[[#This Row],[CS]])/표1[[#This Row],[AB]]</f>
        <v>0.17027027027027028</v>
      </c>
      <c r="AI208">
        <f>(표1[[#This Row],[TB]]+표1[[#This Row],[BB]]+표1[[#This Row],[HBP]]+표1[[#This Row],[SB]]-표1[[#This Row],[CS]])/(표1[[#This Row],[AB]]-표1[[#This Row],[H]]+표1[[#This Row],[CS]]+표1[[#This Row],[GDP]])</f>
        <v>0.56357388316151202</v>
      </c>
      <c r="AJ20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38.242318840579706</v>
      </c>
      <c r="AK208">
        <f>표1[[#This Row],[RC]]/((표1[[#This Row],[AB]]-표1[[#This Row],[H]]+표1[[#This Row],[SAC]]+표1[[#This Row],[SF]]+표1[[#This Row],[CS]]+표1[[#This Row],[GDP]])/27)</f>
        <v>3.4190152605816295</v>
      </c>
      <c r="AL20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0.27640294840294843</v>
      </c>
      <c r="AM20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39.090000000000003</v>
      </c>
    </row>
    <row r="209" spans="1:39" x14ac:dyDescent="0.3">
      <c r="A209" t="str">
        <f>_xlfn.CONCAT(표1[[#This Row],[Year]],표1[[#This Row],[Player]])</f>
        <v>2006김상훈</v>
      </c>
      <c r="B209">
        <v>2006</v>
      </c>
      <c r="C209">
        <v>37</v>
      </c>
      <c r="D209" t="s">
        <v>33</v>
      </c>
      <c r="E209" t="s">
        <v>13</v>
      </c>
      <c r="F209">
        <v>0.23400000000000001</v>
      </c>
      <c r="G209">
        <v>122</v>
      </c>
      <c r="H209">
        <v>417</v>
      </c>
      <c r="I209">
        <v>367</v>
      </c>
      <c r="J209">
        <v>33</v>
      </c>
      <c r="K209">
        <v>86</v>
      </c>
      <c r="L209">
        <f>표1[[#This Row],[H]]-표1[[#This Row],[2B]]-표1[[#This Row],[3B]]-표1[[#This Row],[HR]]</f>
        <v>68</v>
      </c>
      <c r="M209">
        <v>15</v>
      </c>
      <c r="N209">
        <v>1</v>
      </c>
      <c r="O209">
        <v>2</v>
      </c>
      <c r="P209">
        <v>109</v>
      </c>
      <c r="Q209">
        <v>35</v>
      </c>
      <c r="R209">
        <v>18</v>
      </c>
      <c r="S209">
        <v>0</v>
      </c>
      <c r="T209">
        <v>30</v>
      </c>
      <c r="U209">
        <v>0</v>
      </c>
      <c r="V209">
        <v>1</v>
      </c>
      <c r="W209">
        <v>2</v>
      </c>
      <c r="X209">
        <v>2</v>
      </c>
      <c r="Y209">
        <v>54</v>
      </c>
      <c r="Z209">
        <v>9</v>
      </c>
      <c r="AA209">
        <v>0.29699999999999999</v>
      </c>
      <c r="AB209">
        <v>0.29599999999999999</v>
      </c>
      <c r="AC209">
        <v>0.59299999999999997</v>
      </c>
      <c r="AD209">
        <v>19</v>
      </c>
      <c r="AE209">
        <v>0.30399999999999999</v>
      </c>
      <c r="AF209">
        <v>0.33300000000000002</v>
      </c>
      <c r="AG209">
        <f>(표1[[#This Row],[TB]]-표1[[#This Row],[H]])/표1[[#This Row],[AB]]</f>
        <v>6.2670299727520432E-2</v>
      </c>
      <c r="AH209">
        <f>(표1[[#This Row],[TB]]-표1[[#This Row],[H]]+표1[[#This Row],[BB]]+표1[[#This Row],[SB]]-표1[[#This Row],[CS]])/표1[[#This Row],[AB]]</f>
        <v>0.14168937329700274</v>
      </c>
      <c r="AI209">
        <f>(표1[[#This Row],[TB]]+표1[[#This Row],[BB]]+표1[[#This Row],[HBP]]+표1[[#This Row],[SB]]-표1[[#This Row],[CS]])/(표1[[#This Row],[AB]]-표1[[#This Row],[H]]+표1[[#This Row],[CS]]+표1[[#This Row],[GDP]])</f>
        <v>0.47945205479452052</v>
      </c>
      <c r="AJ20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32.63884892086331</v>
      </c>
      <c r="AK209">
        <f>표1[[#This Row],[RC]]/((표1[[#This Row],[AB]]-표1[[#This Row],[H]]+표1[[#This Row],[SAC]]+표1[[#This Row],[SF]]+표1[[#This Row],[CS]]+표1[[#This Row],[GDP]])/27)</f>
        <v>2.8427384543977725</v>
      </c>
      <c r="AL20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0.26779448621553881</v>
      </c>
      <c r="AM20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30.808</v>
      </c>
    </row>
    <row r="210" spans="1:39" x14ac:dyDescent="0.3">
      <c r="A210" t="str">
        <f>_xlfn.CONCAT(표1[[#This Row],[Year]],표1[[#This Row],[Player]])</f>
        <v>2006김민재</v>
      </c>
      <c r="B210">
        <v>2006</v>
      </c>
      <c r="C210">
        <v>38</v>
      </c>
      <c r="D210" t="s">
        <v>47</v>
      </c>
      <c r="E210" t="s">
        <v>11</v>
      </c>
      <c r="F210">
        <v>0.21099999999999999</v>
      </c>
      <c r="G210">
        <v>121</v>
      </c>
      <c r="H210">
        <v>428</v>
      </c>
      <c r="I210">
        <v>375</v>
      </c>
      <c r="J210">
        <v>41</v>
      </c>
      <c r="K210">
        <v>79</v>
      </c>
      <c r="L210">
        <f>표1[[#This Row],[H]]-표1[[#This Row],[2B]]-표1[[#This Row],[3B]]-표1[[#This Row],[HR]]</f>
        <v>57</v>
      </c>
      <c r="M210">
        <v>17</v>
      </c>
      <c r="N210">
        <v>0</v>
      </c>
      <c r="O210">
        <v>5</v>
      </c>
      <c r="P210">
        <v>111</v>
      </c>
      <c r="Q210">
        <v>27</v>
      </c>
      <c r="R210">
        <v>17</v>
      </c>
      <c r="S210">
        <v>1</v>
      </c>
      <c r="T210">
        <v>31</v>
      </c>
      <c r="U210">
        <v>0</v>
      </c>
      <c r="V210">
        <v>11</v>
      </c>
      <c r="W210">
        <v>3</v>
      </c>
      <c r="X210">
        <v>4</v>
      </c>
      <c r="Y210">
        <v>54</v>
      </c>
      <c r="Z210">
        <v>18</v>
      </c>
      <c r="AA210">
        <v>0.29599999999999999</v>
      </c>
      <c r="AB210">
        <v>0.27700000000000002</v>
      </c>
      <c r="AC210">
        <v>0.57299999999999995</v>
      </c>
      <c r="AD210">
        <v>17</v>
      </c>
      <c r="AE210">
        <v>0.16700000000000001</v>
      </c>
      <c r="AF210">
        <v>0</v>
      </c>
      <c r="AG210">
        <f>(표1[[#This Row],[TB]]-표1[[#This Row],[H]])/표1[[#This Row],[AB]]</f>
        <v>8.533333333333333E-2</v>
      </c>
      <c r="AH210">
        <f>(표1[[#This Row],[TB]]-표1[[#This Row],[H]]+표1[[#This Row],[BB]]+표1[[#This Row],[SB]]-표1[[#This Row],[CS]])/표1[[#This Row],[AB]]</f>
        <v>0.18933333333333333</v>
      </c>
      <c r="AI210">
        <f>(표1[[#This Row],[TB]]+표1[[#This Row],[BB]]+표1[[#This Row],[HBP]]+표1[[#This Row],[SB]]-표1[[#This Row],[CS]])/(표1[[#This Row],[AB]]-표1[[#This Row],[H]]+표1[[#This Row],[CS]]+표1[[#This Row],[GDP]])</f>
        <v>0.48580441640378547</v>
      </c>
      <c r="AJ21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29.37322429906542</v>
      </c>
      <c r="AK210">
        <f>표1[[#This Row],[RC]]/((표1[[#This Row],[AB]]-표1[[#This Row],[H]]+표1[[#This Row],[SAC]]+표1[[#This Row],[SF]]+표1[[#This Row],[CS]]+표1[[#This Row],[GDP]])/27)</f>
        <v>2.3673941972381085</v>
      </c>
      <c r="AL21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0.25877372262773723</v>
      </c>
      <c r="AM21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28.17799999999999</v>
      </c>
    </row>
    <row r="211" spans="1:39" x14ac:dyDescent="0.3">
      <c r="A211" t="str">
        <f>_xlfn.CONCAT(표1[[#This Row],[Year]],표1[[#This Row],[Player]])</f>
        <v>2007이현곤</v>
      </c>
      <c r="B211">
        <v>2007</v>
      </c>
      <c r="C211">
        <v>1</v>
      </c>
      <c r="D211" t="s">
        <v>85</v>
      </c>
      <c r="E211" t="s">
        <v>13</v>
      </c>
      <c r="F211">
        <v>0.33800000000000002</v>
      </c>
      <c r="G211">
        <v>126</v>
      </c>
      <c r="H211">
        <v>521</v>
      </c>
      <c r="I211">
        <v>453</v>
      </c>
      <c r="J211">
        <v>63</v>
      </c>
      <c r="K211">
        <v>153</v>
      </c>
      <c r="L211">
        <f>표1[[#This Row],[H]]-표1[[#This Row],[2B]]-표1[[#This Row],[3B]]-표1[[#This Row],[HR]]</f>
        <v>120</v>
      </c>
      <c r="M211">
        <v>31</v>
      </c>
      <c r="N211">
        <v>0</v>
      </c>
      <c r="O211">
        <v>2</v>
      </c>
      <c r="P211">
        <v>190</v>
      </c>
      <c r="Q211">
        <v>48</v>
      </c>
      <c r="R211">
        <v>13</v>
      </c>
      <c r="S211">
        <v>8</v>
      </c>
      <c r="T211">
        <v>43</v>
      </c>
      <c r="U211">
        <v>0</v>
      </c>
      <c r="V211">
        <v>4</v>
      </c>
      <c r="W211">
        <v>2</v>
      </c>
      <c r="X211">
        <v>3</v>
      </c>
      <c r="Y211">
        <v>61</v>
      </c>
      <c r="Z211">
        <v>11</v>
      </c>
      <c r="AA211">
        <v>0.41899999999999998</v>
      </c>
      <c r="AB211">
        <v>0.39300000000000002</v>
      </c>
      <c r="AC211">
        <v>0.81200000000000006</v>
      </c>
      <c r="AD211">
        <v>50</v>
      </c>
      <c r="AE211">
        <v>0.28799999999999998</v>
      </c>
      <c r="AF211">
        <v>0</v>
      </c>
      <c r="AG211">
        <f>(표1[[#This Row],[TB]]-표1[[#This Row],[H]])/표1[[#This Row],[AB]]</f>
        <v>8.1677704194260486E-2</v>
      </c>
      <c r="AH211">
        <f>(표1[[#This Row],[TB]]-표1[[#This Row],[H]]+표1[[#This Row],[BB]]+표1[[#This Row],[SB]]-표1[[#This Row],[CS]])/표1[[#This Row],[AB]]</f>
        <v>0.18101545253863136</v>
      </c>
      <c r="AI211">
        <f>(표1[[#This Row],[TB]]+표1[[#This Row],[BB]]+표1[[#This Row],[HBP]]+표1[[#This Row],[SB]]-표1[[#This Row],[CS]])/(표1[[#This Row],[AB]]-표1[[#This Row],[H]]+표1[[#This Row],[CS]]+표1[[#This Row],[GDP]])</f>
        <v>0.76038338658146964</v>
      </c>
      <c r="AJ21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76.889538461538464</v>
      </c>
      <c r="AK211">
        <f>표1[[#This Row],[RC]]/((표1[[#This Row],[AB]]-표1[[#This Row],[H]]+표1[[#This Row],[SAC]]+표1[[#This Row],[SF]]+표1[[#This Row],[CS]]+표1[[#This Row],[GDP]])/27)</f>
        <v>6.2156213726393368</v>
      </c>
      <c r="AL21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0.35708481262327413</v>
      </c>
      <c r="AM21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72.841999999999985</v>
      </c>
    </row>
    <row r="212" spans="1:39" x14ac:dyDescent="0.3">
      <c r="A212" t="str">
        <f>_xlfn.CONCAT(표1[[#This Row],[Year]],표1[[#This Row],[Player]])</f>
        <v>2007양준혁</v>
      </c>
      <c r="B212">
        <v>2007</v>
      </c>
      <c r="C212">
        <v>2</v>
      </c>
      <c r="D212" t="s">
        <v>5</v>
      </c>
      <c r="E212" t="s">
        <v>6</v>
      </c>
      <c r="F212">
        <v>0.33700000000000002</v>
      </c>
      <c r="G212">
        <v>123</v>
      </c>
      <c r="H212">
        <v>544</v>
      </c>
      <c r="I212">
        <v>442</v>
      </c>
      <c r="J212">
        <v>78</v>
      </c>
      <c r="K212">
        <v>149</v>
      </c>
      <c r="L212">
        <f>표1[[#This Row],[H]]-표1[[#This Row],[2B]]-표1[[#This Row],[3B]]-표1[[#This Row],[HR]]</f>
        <v>93</v>
      </c>
      <c r="M212">
        <v>34</v>
      </c>
      <c r="N212">
        <v>0</v>
      </c>
      <c r="O212">
        <v>22</v>
      </c>
      <c r="P212">
        <v>249</v>
      </c>
      <c r="Q212">
        <v>72</v>
      </c>
      <c r="R212">
        <v>1</v>
      </c>
      <c r="S212">
        <v>2</v>
      </c>
      <c r="T212">
        <v>91</v>
      </c>
      <c r="U212">
        <v>15</v>
      </c>
      <c r="V212">
        <v>20</v>
      </c>
      <c r="W212">
        <v>8</v>
      </c>
      <c r="X212">
        <v>7</v>
      </c>
      <c r="Y212">
        <v>44</v>
      </c>
      <c r="Z212">
        <v>12</v>
      </c>
      <c r="AA212">
        <v>0.56299999999999994</v>
      </c>
      <c r="AB212">
        <v>0.45600000000000002</v>
      </c>
      <c r="AC212">
        <v>1.0189999999999999</v>
      </c>
      <c r="AD212">
        <v>40</v>
      </c>
      <c r="AE212">
        <v>0.28299999999999997</v>
      </c>
      <c r="AF212">
        <v>0</v>
      </c>
      <c r="AG212">
        <f>(표1[[#This Row],[TB]]-표1[[#This Row],[H]])/표1[[#This Row],[AB]]</f>
        <v>0.22624434389140272</v>
      </c>
      <c r="AH212">
        <f>(표1[[#This Row],[TB]]-표1[[#This Row],[H]]+표1[[#This Row],[BB]]+표1[[#This Row],[SB]]-표1[[#This Row],[CS]])/표1[[#This Row],[AB]]</f>
        <v>0.45927601809954749</v>
      </c>
      <c r="AI212">
        <f>(표1[[#This Row],[TB]]+표1[[#This Row],[BB]]+표1[[#This Row],[HBP]]+표1[[#This Row],[SB]]-표1[[#This Row],[CS]])/(표1[[#This Row],[AB]]-표1[[#This Row],[H]]+표1[[#This Row],[CS]]+표1[[#This Row],[GDP]])</f>
        <v>1.1469648562300319</v>
      </c>
      <c r="AJ21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118.11524861878452</v>
      </c>
      <c r="AK212">
        <f>표1[[#This Row],[RC]]/((표1[[#This Row],[AB]]-표1[[#This Row],[H]]+표1[[#This Row],[SAC]]+표1[[#This Row],[SF]]+표1[[#This Row],[CS]]+표1[[#This Row],[GDP]])/27)</f>
        <v>10.092125673123993</v>
      </c>
      <c r="AL21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0.43225047438330172</v>
      </c>
      <c r="AM21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105.288</v>
      </c>
    </row>
    <row r="213" spans="1:39" x14ac:dyDescent="0.3">
      <c r="A213" t="str">
        <f>_xlfn.CONCAT(표1[[#This Row],[Year]],표1[[#This Row],[Player]])</f>
        <v>2007이대호</v>
      </c>
      <c r="B213">
        <v>2007</v>
      </c>
      <c r="C213">
        <v>3</v>
      </c>
      <c r="D213" t="s">
        <v>64</v>
      </c>
      <c r="E213" t="s">
        <v>17</v>
      </c>
      <c r="F213">
        <v>0.33500000000000002</v>
      </c>
      <c r="G213">
        <v>121</v>
      </c>
      <c r="H213">
        <v>514</v>
      </c>
      <c r="I213">
        <v>415</v>
      </c>
      <c r="J213">
        <v>79</v>
      </c>
      <c r="K213">
        <v>139</v>
      </c>
      <c r="L213">
        <f>표1[[#This Row],[H]]-표1[[#This Row],[2B]]-표1[[#This Row],[3B]]-표1[[#This Row],[HR]]</f>
        <v>88</v>
      </c>
      <c r="M213">
        <v>21</v>
      </c>
      <c r="N213">
        <v>1</v>
      </c>
      <c r="O213">
        <v>29</v>
      </c>
      <c r="P213">
        <v>249</v>
      </c>
      <c r="Q213">
        <v>87</v>
      </c>
      <c r="R213">
        <v>0</v>
      </c>
      <c r="S213">
        <v>5</v>
      </c>
      <c r="T213">
        <v>81</v>
      </c>
      <c r="U213">
        <v>25</v>
      </c>
      <c r="V213">
        <v>1</v>
      </c>
      <c r="W213">
        <v>0</v>
      </c>
      <c r="X213">
        <v>13</v>
      </c>
      <c r="Y213">
        <v>55</v>
      </c>
      <c r="Z213">
        <v>9</v>
      </c>
      <c r="AA213">
        <v>0.6</v>
      </c>
      <c r="AB213">
        <v>0.45300000000000001</v>
      </c>
      <c r="AC213">
        <v>1.0529999999999999</v>
      </c>
      <c r="AD213">
        <v>33</v>
      </c>
      <c r="AE213">
        <v>0.36399999999999999</v>
      </c>
      <c r="AF213">
        <v>0</v>
      </c>
      <c r="AG213">
        <f>(표1[[#This Row],[TB]]-표1[[#This Row],[H]])/표1[[#This Row],[AB]]</f>
        <v>0.26506024096385544</v>
      </c>
      <c r="AH213">
        <f>(표1[[#This Row],[TB]]-표1[[#This Row],[H]]+표1[[#This Row],[BB]]+표1[[#This Row],[SB]]-표1[[#This Row],[CS]])/표1[[#This Row],[AB]]</f>
        <v>0.46265060240963857</v>
      </c>
      <c r="AI213">
        <f>(표1[[#This Row],[TB]]+표1[[#This Row],[BB]]+표1[[#This Row],[HBP]]+표1[[#This Row],[SB]]-표1[[#This Row],[CS]])/(표1[[#This Row],[AB]]-표1[[#This Row],[H]]+표1[[#This Row],[CS]]+표1[[#This Row],[GDP]])</f>
        <v>1.2070175438596491</v>
      </c>
      <c r="AJ21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117.69151750972763</v>
      </c>
      <c r="AK213">
        <f>표1[[#This Row],[RC]]/((표1[[#This Row],[AB]]-표1[[#This Row],[H]]+표1[[#This Row],[SAC]]+표1[[#This Row],[SF]]+표1[[#This Row],[CS]]+표1[[#This Row],[GDP]])/27)</f>
        <v>10.957486112974642</v>
      </c>
      <c r="AL21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0.43669938650306739</v>
      </c>
      <c r="AM21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105.05</v>
      </c>
    </row>
    <row r="214" spans="1:39" x14ac:dyDescent="0.3">
      <c r="A214" t="str">
        <f>_xlfn.CONCAT(표1[[#This Row],[Year]],표1[[#This Row],[Player]])</f>
        <v>2007정근우</v>
      </c>
      <c r="B214">
        <v>2007</v>
      </c>
      <c r="C214">
        <v>4</v>
      </c>
      <c r="D214" t="s">
        <v>79</v>
      </c>
      <c r="E214" t="s">
        <v>8</v>
      </c>
      <c r="F214">
        <v>0.32300000000000001</v>
      </c>
      <c r="G214">
        <v>111</v>
      </c>
      <c r="H214">
        <v>391</v>
      </c>
      <c r="I214">
        <v>341</v>
      </c>
      <c r="J214">
        <v>62</v>
      </c>
      <c r="K214">
        <v>110</v>
      </c>
      <c r="L214">
        <f>표1[[#This Row],[H]]-표1[[#This Row],[2B]]-표1[[#This Row],[3B]]-표1[[#This Row],[HR]]</f>
        <v>75</v>
      </c>
      <c r="M214">
        <v>24</v>
      </c>
      <c r="N214">
        <v>2</v>
      </c>
      <c r="O214">
        <v>9</v>
      </c>
      <c r="P214">
        <v>165</v>
      </c>
      <c r="Q214">
        <v>44</v>
      </c>
      <c r="R214">
        <v>9</v>
      </c>
      <c r="S214">
        <v>0</v>
      </c>
      <c r="T214">
        <v>35</v>
      </c>
      <c r="U214">
        <v>0</v>
      </c>
      <c r="V214">
        <v>24</v>
      </c>
      <c r="W214">
        <v>10</v>
      </c>
      <c r="X214">
        <v>6</v>
      </c>
      <c r="Y214">
        <v>44</v>
      </c>
      <c r="Z214">
        <v>6</v>
      </c>
      <c r="AA214">
        <v>0.48399999999999999</v>
      </c>
      <c r="AB214">
        <v>0.39500000000000002</v>
      </c>
      <c r="AC214">
        <v>0.879</v>
      </c>
      <c r="AD214">
        <v>29</v>
      </c>
      <c r="AE214">
        <v>0.32900000000000001</v>
      </c>
      <c r="AF214">
        <v>0.44400000000000001</v>
      </c>
      <c r="AG214">
        <f>(표1[[#This Row],[TB]]-표1[[#This Row],[H]])/표1[[#This Row],[AB]]</f>
        <v>0.16129032258064516</v>
      </c>
      <c r="AH214">
        <f>(표1[[#This Row],[TB]]-표1[[#This Row],[H]]+표1[[#This Row],[BB]]+표1[[#This Row],[SB]]-표1[[#This Row],[CS]])/표1[[#This Row],[AB]]</f>
        <v>0.30498533724340177</v>
      </c>
      <c r="AI214">
        <f>(표1[[#This Row],[TB]]+표1[[#This Row],[BB]]+표1[[#This Row],[HBP]]+표1[[#This Row],[SB]]-표1[[#This Row],[CS]])/(표1[[#This Row],[AB]]-표1[[#This Row],[H]]+표1[[#This Row],[CS]]+표1[[#This Row],[GDP]])</f>
        <v>0.89068825910931171</v>
      </c>
      <c r="AJ21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66.574680306905378</v>
      </c>
      <c r="AK214">
        <f>표1[[#This Row],[RC]]/((표1[[#This Row],[AB]]-표1[[#This Row],[H]]+표1[[#This Row],[SAC]]+표1[[#This Row],[SF]]+표1[[#This Row],[CS]]+표1[[#This Row],[GDP]])/27)</f>
        <v>7.0215483136189274</v>
      </c>
      <c r="AL21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0.38401308900523556</v>
      </c>
      <c r="AM21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61.877999999999986</v>
      </c>
    </row>
    <row r="215" spans="1:39" x14ac:dyDescent="0.3">
      <c r="A215" t="str">
        <f>_xlfn.CONCAT(표1[[#This Row],[Year]],표1[[#This Row],[Player]])</f>
        <v>2007김동주</v>
      </c>
      <c r="B215">
        <v>2007</v>
      </c>
      <c r="C215">
        <v>5</v>
      </c>
      <c r="D215" t="s">
        <v>0</v>
      </c>
      <c r="E215" t="s">
        <v>1</v>
      </c>
      <c r="F215">
        <v>0.32200000000000001</v>
      </c>
      <c r="G215">
        <v>119</v>
      </c>
      <c r="H215">
        <v>481</v>
      </c>
      <c r="I215">
        <v>382</v>
      </c>
      <c r="J215">
        <v>68</v>
      </c>
      <c r="K215">
        <v>123</v>
      </c>
      <c r="L215">
        <f>표1[[#This Row],[H]]-표1[[#This Row],[2B]]-표1[[#This Row],[3B]]-표1[[#This Row],[HR]]</f>
        <v>80</v>
      </c>
      <c r="M215">
        <v>24</v>
      </c>
      <c r="N215">
        <v>0</v>
      </c>
      <c r="O215">
        <v>19</v>
      </c>
      <c r="P215">
        <v>204</v>
      </c>
      <c r="Q215">
        <v>78</v>
      </c>
      <c r="R215">
        <v>0</v>
      </c>
      <c r="S215">
        <v>2</v>
      </c>
      <c r="T215">
        <v>83</v>
      </c>
      <c r="U215">
        <v>11</v>
      </c>
      <c r="V215">
        <v>11</v>
      </c>
      <c r="W215">
        <v>2</v>
      </c>
      <c r="X215">
        <v>14</v>
      </c>
      <c r="Y215">
        <v>55</v>
      </c>
      <c r="Z215">
        <v>10</v>
      </c>
      <c r="AA215">
        <v>0.53400000000000003</v>
      </c>
      <c r="AB215">
        <v>0.45700000000000002</v>
      </c>
      <c r="AC215">
        <v>0.99099999999999999</v>
      </c>
      <c r="AD215">
        <v>29</v>
      </c>
      <c r="AE215">
        <v>0.35899999999999999</v>
      </c>
      <c r="AF215">
        <v>0.33300000000000002</v>
      </c>
      <c r="AG215">
        <f>(표1[[#This Row],[TB]]-표1[[#This Row],[H]])/표1[[#This Row],[AB]]</f>
        <v>0.21204188481675393</v>
      </c>
      <c r="AH215">
        <f>(표1[[#This Row],[TB]]-표1[[#This Row],[H]]+표1[[#This Row],[BB]]+표1[[#This Row],[SB]]-표1[[#This Row],[CS]])/표1[[#This Row],[AB]]</f>
        <v>0.45287958115183247</v>
      </c>
      <c r="AI215">
        <f>(표1[[#This Row],[TB]]+표1[[#This Row],[BB]]+표1[[#This Row],[HBP]]+표1[[#This Row],[SB]]-표1[[#This Row],[CS]])/(표1[[#This Row],[AB]]-표1[[#This Row],[H]]+표1[[#This Row],[CS]]+표1[[#This Row],[GDP]])</f>
        <v>1.1439114391143912</v>
      </c>
      <c r="AJ21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100.80864864864864</v>
      </c>
      <c r="AK215">
        <f>표1[[#This Row],[RC]]/((표1[[#This Row],[AB]]-표1[[#This Row],[H]]+표1[[#This Row],[SAC]]+표1[[#This Row],[SF]]+표1[[#This Row],[CS]]+표1[[#This Row],[GDP]])/27)</f>
        <v>9.9700861300861305</v>
      </c>
      <c r="AL21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0.42521276595744678</v>
      </c>
      <c r="AM21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91.26</v>
      </c>
    </row>
    <row r="216" spans="1:39" x14ac:dyDescent="0.3">
      <c r="A216" t="str">
        <f>_xlfn.CONCAT(표1[[#This Row],[Year]],표1[[#This Row],[Player]])</f>
        <v>2007크루즈</v>
      </c>
      <c r="B216">
        <v>2007</v>
      </c>
      <c r="C216">
        <v>6</v>
      </c>
      <c r="D216" t="s">
        <v>86</v>
      </c>
      <c r="E216" t="s">
        <v>11</v>
      </c>
      <c r="F216">
        <v>0.32100000000000001</v>
      </c>
      <c r="G216">
        <v>121</v>
      </c>
      <c r="H216">
        <v>498</v>
      </c>
      <c r="I216">
        <v>418</v>
      </c>
      <c r="J216">
        <v>68</v>
      </c>
      <c r="K216">
        <v>134</v>
      </c>
      <c r="L216">
        <f>표1[[#This Row],[H]]-표1[[#This Row],[2B]]-표1[[#This Row],[3B]]-표1[[#This Row],[HR]]</f>
        <v>82</v>
      </c>
      <c r="M216">
        <v>30</v>
      </c>
      <c r="N216">
        <v>0</v>
      </c>
      <c r="O216">
        <v>22</v>
      </c>
      <c r="P216">
        <v>230</v>
      </c>
      <c r="Q216">
        <v>85</v>
      </c>
      <c r="R216">
        <v>0</v>
      </c>
      <c r="S216">
        <v>4</v>
      </c>
      <c r="T216">
        <v>69</v>
      </c>
      <c r="U216">
        <v>6</v>
      </c>
      <c r="V216">
        <v>1</v>
      </c>
      <c r="W216">
        <v>0</v>
      </c>
      <c r="X216">
        <v>7</v>
      </c>
      <c r="Y216">
        <v>73</v>
      </c>
      <c r="Z216">
        <v>15</v>
      </c>
      <c r="AA216">
        <v>0.55000000000000004</v>
      </c>
      <c r="AB216">
        <v>0.42199999999999999</v>
      </c>
      <c r="AC216">
        <v>0.97199999999999998</v>
      </c>
      <c r="AD216">
        <v>36</v>
      </c>
      <c r="AE216">
        <v>0.33300000000000002</v>
      </c>
      <c r="AF216">
        <v>0.4</v>
      </c>
      <c r="AG216">
        <f>(표1[[#This Row],[TB]]-표1[[#This Row],[H]])/표1[[#This Row],[AB]]</f>
        <v>0.22966507177033493</v>
      </c>
      <c r="AH216">
        <f>(표1[[#This Row],[TB]]-표1[[#This Row],[H]]+표1[[#This Row],[BB]]+표1[[#This Row],[SB]]-표1[[#This Row],[CS]])/표1[[#This Row],[AB]]</f>
        <v>0.39712918660287083</v>
      </c>
      <c r="AI216">
        <f>(표1[[#This Row],[TB]]+표1[[#This Row],[BB]]+표1[[#This Row],[HBP]]+표1[[#This Row],[SB]]-표1[[#This Row],[CS]])/(표1[[#This Row],[AB]]-표1[[#This Row],[H]]+표1[[#This Row],[CS]]+표1[[#This Row],[GDP]])</f>
        <v>1.0267558528428093</v>
      </c>
      <c r="AJ21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98.204819277108427</v>
      </c>
      <c r="AK216">
        <f>표1[[#This Row],[RC]]/((표1[[#This Row],[AB]]-표1[[#This Row],[H]]+표1[[#This Row],[SAC]]+표1[[#This Row],[SF]]+표1[[#This Row],[CS]]+표1[[#This Row],[GDP]])/27)</f>
        <v>8.750924490039365</v>
      </c>
      <c r="AL21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0.41475813008130075</v>
      </c>
      <c r="AM21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89.546000000000021</v>
      </c>
    </row>
    <row r="217" spans="1:39" x14ac:dyDescent="0.3">
      <c r="A217" t="str">
        <f>_xlfn.CONCAT(표1[[#This Row],[Year]],표1[[#This Row],[Player]])</f>
        <v>2007이종욱</v>
      </c>
      <c r="B217">
        <v>2007</v>
      </c>
      <c r="C217">
        <v>7</v>
      </c>
      <c r="D217" t="s">
        <v>80</v>
      </c>
      <c r="E217" t="s">
        <v>1</v>
      </c>
      <c r="F217">
        <v>0.316</v>
      </c>
      <c r="G217">
        <v>123</v>
      </c>
      <c r="H217">
        <v>528</v>
      </c>
      <c r="I217">
        <v>465</v>
      </c>
      <c r="J217">
        <v>84</v>
      </c>
      <c r="K217">
        <v>147</v>
      </c>
      <c r="L217">
        <f>표1[[#This Row],[H]]-표1[[#This Row],[2B]]-표1[[#This Row],[3B]]-표1[[#This Row],[HR]]</f>
        <v>114</v>
      </c>
      <c r="M217">
        <v>20</v>
      </c>
      <c r="N217">
        <v>12</v>
      </c>
      <c r="O217">
        <v>1</v>
      </c>
      <c r="P217">
        <v>194</v>
      </c>
      <c r="Q217">
        <v>46</v>
      </c>
      <c r="R217">
        <v>6</v>
      </c>
      <c r="S217">
        <v>4</v>
      </c>
      <c r="T217">
        <v>48</v>
      </c>
      <c r="U217">
        <v>0</v>
      </c>
      <c r="V217">
        <v>47</v>
      </c>
      <c r="W217">
        <v>14</v>
      </c>
      <c r="X217">
        <v>4</v>
      </c>
      <c r="Y217">
        <v>74</v>
      </c>
      <c r="Z217">
        <v>6</v>
      </c>
      <c r="AA217">
        <v>0.41699999999999998</v>
      </c>
      <c r="AB217">
        <v>0.38200000000000001</v>
      </c>
      <c r="AC217">
        <v>0.79900000000000004</v>
      </c>
      <c r="AD217">
        <v>45</v>
      </c>
      <c r="AE217">
        <v>0.38500000000000001</v>
      </c>
      <c r="AF217">
        <v>0</v>
      </c>
      <c r="AG217">
        <f>(표1[[#This Row],[TB]]-표1[[#This Row],[H]])/표1[[#This Row],[AB]]</f>
        <v>0.1010752688172043</v>
      </c>
      <c r="AH217">
        <f>(표1[[#This Row],[TB]]-표1[[#This Row],[H]]+표1[[#This Row],[BB]]+표1[[#This Row],[SB]]-표1[[#This Row],[CS]])/표1[[#This Row],[AB]]</f>
        <v>0.27526881720430108</v>
      </c>
      <c r="AI217">
        <f>(표1[[#This Row],[TB]]+표1[[#This Row],[BB]]+표1[[#This Row],[HBP]]+표1[[#This Row],[SB]]-표1[[#This Row],[CS]])/(표1[[#This Row],[AB]]-표1[[#This Row],[H]]+표1[[#This Row],[CS]]+표1[[#This Row],[GDP]])</f>
        <v>0.82544378698224852</v>
      </c>
      <c r="AJ21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80.553396584440236</v>
      </c>
      <c r="AK217">
        <f>표1[[#This Row],[RC]]/((표1[[#This Row],[AB]]-표1[[#This Row],[H]]+표1[[#This Row],[SAC]]+표1[[#This Row],[SF]]+표1[[#This Row],[CS]]+표1[[#This Row],[GDP]])/27)</f>
        <v>6.2498324936203629</v>
      </c>
      <c r="AL21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0.35152783109404984</v>
      </c>
      <c r="AM21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77.268000000000001</v>
      </c>
    </row>
    <row r="218" spans="1:39" x14ac:dyDescent="0.3">
      <c r="A218" t="str">
        <f>_xlfn.CONCAT(표1[[#This Row],[Year]],표1[[#This Row],[Player]])</f>
        <v>2007이호준</v>
      </c>
      <c r="B218">
        <v>2007</v>
      </c>
      <c r="C218">
        <v>8</v>
      </c>
      <c r="D218" t="s">
        <v>27</v>
      </c>
      <c r="E218" t="s">
        <v>8</v>
      </c>
      <c r="F218">
        <v>0.313</v>
      </c>
      <c r="G218">
        <v>101</v>
      </c>
      <c r="H218">
        <v>391</v>
      </c>
      <c r="I218">
        <v>351</v>
      </c>
      <c r="J218">
        <v>56</v>
      </c>
      <c r="K218">
        <v>110</v>
      </c>
      <c r="L218">
        <f>표1[[#This Row],[H]]-표1[[#This Row],[2B]]-표1[[#This Row],[3B]]-표1[[#This Row],[HR]]</f>
        <v>73</v>
      </c>
      <c r="M218">
        <v>22</v>
      </c>
      <c r="N218">
        <v>1</v>
      </c>
      <c r="O218">
        <v>14</v>
      </c>
      <c r="P218">
        <v>176</v>
      </c>
      <c r="Q218">
        <v>71</v>
      </c>
      <c r="R218">
        <v>0</v>
      </c>
      <c r="S218">
        <v>6</v>
      </c>
      <c r="T218">
        <v>31</v>
      </c>
      <c r="U218">
        <v>0</v>
      </c>
      <c r="V218">
        <v>3</v>
      </c>
      <c r="W218">
        <v>6</v>
      </c>
      <c r="X218">
        <v>3</v>
      </c>
      <c r="Y218">
        <v>59</v>
      </c>
      <c r="Z218">
        <v>13</v>
      </c>
      <c r="AA218">
        <v>0.501</v>
      </c>
      <c r="AB218">
        <v>0.36799999999999999</v>
      </c>
      <c r="AC218">
        <v>0.86899999999999999</v>
      </c>
      <c r="AD218">
        <v>24</v>
      </c>
      <c r="AE218">
        <v>0.38400000000000001</v>
      </c>
      <c r="AF218">
        <v>1</v>
      </c>
      <c r="AG218">
        <f>(표1[[#This Row],[TB]]-표1[[#This Row],[H]])/표1[[#This Row],[AB]]</f>
        <v>0.18803418803418803</v>
      </c>
      <c r="AH218">
        <f>(표1[[#This Row],[TB]]-표1[[#This Row],[H]]+표1[[#This Row],[BB]]+표1[[#This Row],[SB]]-표1[[#This Row],[CS]])/표1[[#This Row],[AB]]</f>
        <v>0.26780626780626782</v>
      </c>
      <c r="AI218">
        <f>(표1[[#This Row],[TB]]+표1[[#This Row],[BB]]+표1[[#This Row],[HBP]]+표1[[#This Row],[SB]]-표1[[#This Row],[CS]])/(표1[[#This Row],[AB]]-표1[[#This Row],[H]]+표1[[#This Row],[CS]]+표1[[#This Row],[GDP]])</f>
        <v>0.7961538461538461</v>
      </c>
      <c r="AJ21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60.588235294117645</v>
      </c>
      <c r="AK218">
        <f>표1[[#This Row],[RC]]/((표1[[#This Row],[AB]]-표1[[#This Row],[H]]+표1[[#This Row],[SAC]]+표1[[#This Row],[SF]]+표1[[#This Row],[CS]]+표1[[#This Row],[GDP]])/27)</f>
        <v>6.1499336576735963</v>
      </c>
      <c r="AL21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0.37385677749360613</v>
      </c>
      <c r="AM21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58.968000000000018</v>
      </c>
    </row>
    <row r="219" spans="1:39" x14ac:dyDescent="0.3">
      <c r="A219" t="str">
        <f>_xlfn.CONCAT(표1[[#This Row],[Year]],표1[[#This Row],[Player]])</f>
        <v>2007이택근</v>
      </c>
      <c r="B219">
        <v>2007</v>
      </c>
      <c r="C219">
        <v>9</v>
      </c>
      <c r="D219" t="s">
        <v>77</v>
      </c>
      <c r="E219" t="s">
        <v>3</v>
      </c>
      <c r="F219">
        <v>0.313</v>
      </c>
      <c r="G219">
        <v>116</v>
      </c>
      <c r="H219">
        <v>495</v>
      </c>
      <c r="I219">
        <v>438</v>
      </c>
      <c r="J219">
        <v>74</v>
      </c>
      <c r="K219">
        <v>137</v>
      </c>
      <c r="L219">
        <f>표1[[#This Row],[H]]-표1[[#This Row],[2B]]-표1[[#This Row],[3B]]-표1[[#This Row],[HR]]</f>
        <v>110</v>
      </c>
      <c r="M219">
        <v>15</v>
      </c>
      <c r="N219">
        <v>1</v>
      </c>
      <c r="O219">
        <v>11</v>
      </c>
      <c r="P219">
        <v>187</v>
      </c>
      <c r="Q219">
        <v>56</v>
      </c>
      <c r="R219">
        <v>5</v>
      </c>
      <c r="S219">
        <v>2</v>
      </c>
      <c r="T219">
        <v>39</v>
      </c>
      <c r="U219">
        <v>5</v>
      </c>
      <c r="V219">
        <v>6</v>
      </c>
      <c r="W219">
        <v>1</v>
      </c>
      <c r="X219">
        <v>11</v>
      </c>
      <c r="Y219">
        <v>41</v>
      </c>
      <c r="Z219">
        <v>10</v>
      </c>
      <c r="AA219">
        <v>0.42699999999999999</v>
      </c>
      <c r="AB219">
        <v>0.38200000000000001</v>
      </c>
      <c r="AC219">
        <v>0.80900000000000005</v>
      </c>
      <c r="AD219">
        <v>37</v>
      </c>
      <c r="AE219">
        <v>0.317</v>
      </c>
      <c r="AF219">
        <v>0.5</v>
      </c>
      <c r="AG219">
        <f>(표1[[#This Row],[TB]]-표1[[#This Row],[H]])/표1[[#This Row],[AB]]</f>
        <v>0.11415525114155251</v>
      </c>
      <c r="AH219">
        <f>(표1[[#This Row],[TB]]-표1[[#This Row],[H]]+표1[[#This Row],[BB]]+표1[[#This Row],[SB]]-표1[[#This Row],[CS]])/표1[[#This Row],[AB]]</f>
        <v>0.21461187214611871</v>
      </c>
      <c r="AI219">
        <f>(표1[[#This Row],[TB]]+표1[[#This Row],[BB]]+표1[[#This Row],[HBP]]+표1[[#This Row],[SB]]-표1[[#This Row],[CS]])/(표1[[#This Row],[AB]]-표1[[#This Row],[H]]+표1[[#This Row],[CS]]+표1[[#This Row],[GDP]])</f>
        <v>0.77564102564102566</v>
      </c>
      <c r="AJ21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73.052444444444447</v>
      </c>
      <c r="AK219">
        <f>표1[[#This Row],[RC]]/((표1[[#This Row],[AB]]-표1[[#This Row],[H]]+표1[[#This Row],[SAC]]+표1[[#This Row],[SF]]+표1[[#This Row],[CS]]+표1[[#This Row],[GDP]])/27)</f>
        <v>6.1831222570532915</v>
      </c>
      <c r="AL21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0.35414845360824737</v>
      </c>
      <c r="AM21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69.812000000000012</v>
      </c>
    </row>
    <row r="220" spans="1:39" x14ac:dyDescent="0.3">
      <c r="A220" t="str">
        <f>_xlfn.CONCAT(표1[[#This Row],[Year]],표1[[#This Row],[Player]])</f>
        <v>2007박진만</v>
      </c>
      <c r="B220">
        <v>2007</v>
      </c>
      <c r="C220">
        <v>10</v>
      </c>
      <c r="D220" t="s">
        <v>31</v>
      </c>
      <c r="E220" t="s">
        <v>6</v>
      </c>
      <c r="F220">
        <v>0.312</v>
      </c>
      <c r="G220">
        <v>100</v>
      </c>
      <c r="H220">
        <v>400</v>
      </c>
      <c r="I220">
        <v>333</v>
      </c>
      <c r="J220">
        <v>34</v>
      </c>
      <c r="K220">
        <v>104</v>
      </c>
      <c r="L220">
        <f>표1[[#This Row],[H]]-표1[[#This Row],[2B]]-표1[[#This Row],[3B]]-표1[[#This Row],[HR]]</f>
        <v>72</v>
      </c>
      <c r="M220">
        <v>25</v>
      </c>
      <c r="N220">
        <v>0</v>
      </c>
      <c r="O220">
        <v>7</v>
      </c>
      <c r="P220">
        <v>150</v>
      </c>
      <c r="Q220">
        <v>56</v>
      </c>
      <c r="R220">
        <v>5</v>
      </c>
      <c r="S220">
        <v>5</v>
      </c>
      <c r="T220">
        <v>53</v>
      </c>
      <c r="U220">
        <v>2</v>
      </c>
      <c r="V220">
        <v>5</v>
      </c>
      <c r="W220">
        <v>3</v>
      </c>
      <c r="X220">
        <v>4</v>
      </c>
      <c r="Y220">
        <v>38</v>
      </c>
      <c r="Z220">
        <v>5</v>
      </c>
      <c r="AA220">
        <v>0.45</v>
      </c>
      <c r="AB220">
        <v>0.40799999999999997</v>
      </c>
      <c r="AC220">
        <v>0.85799999999999998</v>
      </c>
      <c r="AD220">
        <v>29</v>
      </c>
      <c r="AE220">
        <v>0.34699999999999998</v>
      </c>
      <c r="AF220">
        <v>0</v>
      </c>
      <c r="AG220">
        <f>(표1[[#This Row],[TB]]-표1[[#This Row],[H]])/표1[[#This Row],[AB]]</f>
        <v>0.13813813813813813</v>
      </c>
      <c r="AH220">
        <f>(표1[[#This Row],[TB]]-표1[[#This Row],[H]]+표1[[#This Row],[BB]]+표1[[#This Row],[SB]]-표1[[#This Row],[CS]])/표1[[#This Row],[AB]]</f>
        <v>0.3033033033033033</v>
      </c>
      <c r="AI220">
        <f>(표1[[#This Row],[TB]]+표1[[#This Row],[BB]]+표1[[#This Row],[HBP]]+표1[[#This Row],[SB]]-표1[[#This Row],[CS]])/(표1[[#This Row],[AB]]-표1[[#This Row],[H]]+표1[[#This Row],[CS]]+표1[[#This Row],[GDP]])</f>
        <v>0.88185654008438819</v>
      </c>
      <c r="AJ22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65.828250000000011</v>
      </c>
      <c r="AK220">
        <f>표1[[#This Row],[RC]]/((표1[[#This Row],[AB]]-표1[[#This Row],[H]]+표1[[#This Row],[SAC]]+표1[[#This Row],[SF]]+표1[[#This Row],[CS]]+표1[[#This Row],[GDP]])/27)</f>
        <v>7.1958006072874499</v>
      </c>
      <c r="AL22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0.37559287531806618</v>
      </c>
      <c r="AM22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62.506</v>
      </c>
    </row>
    <row r="221" spans="1:39" x14ac:dyDescent="0.3">
      <c r="A221" t="str">
        <f>_xlfn.CONCAT(표1[[#This Row],[Year]],표1[[#This Row],[Player]])</f>
        <v>2007브룸바</v>
      </c>
      <c r="B221">
        <v>2007</v>
      </c>
      <c r="C221">
        <v>11</v>
      </c>
      <c r="D221" t="s">
        <v>48</v>
      </c>
      <c r="E221" t="s">
        <v>3</v>
      </c>
      <c r="F221">
        <v>0.308</v>
      </c>
      <c r="G221">
        <v>126</v>
      </c>
      <c r="H221">
        <v>547</v>
      </c>
      <c r="I221">
        <v>438</v>
      </c>
      <c r="J221">
        <v>75</v>
      </c>
      <c r="K221">
        <v>135</v>
      </c>
      <c r="L221">
        <f>표1[[#This Row],[H]]-표1[[#This Row],[2B]]-표1[[#This Row],[3B]]-표1[[#This Row],[HR]]</f>
        <v>93</v>
      </c>
      <c r="M221">
        <v>13</v>
      </c>
      <c r="N221">
        <v>0</v>
      </c>
      <c r="O221">
        <v>29</v>
      </c>
      <c r="P221">
        <v>235</v>
      </c>
      <c r="Q221">
        <v>87</v>
      </c>
      <c r="R221">
        <v>0</v>
      </c>
      <c r="S221">
        <v>5</v>
      </c>
      <c r="T221">
        <v>100</v>
      </c>
      <c r="U221">
        <v>12</v>
      </c>
      <c r="V221">
        <v>3</v>
      </c>
      <c r="W221">
        <v>2</v>
      </c>
      <c r="X221">
        <v>4</v>
      </c>
      <c r="Y221">
        <v>70</v>
      </c>
      <c r="Z221">
        <v>17</v>
      </c>
      <c r="AA221">
        <v>0.53700000000000003</v>
      </c>
      <c r="AB221">
        <v>0.437</v>
      </c>
      <c r="AC221">
        <v>0.97399999999999998</v>
      </c>
      <c r="AD221">
        <v>38</v>
      </c>
      <c r="AE221">
        <v>0.30299999999999999</v>
      </c>
      <c r="AF221">
        <v>0</v>
      </c>
      <c r="AG221">
        <f>(표1[[#This Row],[TB]]-표1[[#This Row],[H]])/표1[[#This Row],[AB]]</f>
        <v>0.22831050228310501</v>
      </c>
      <c r="AH221">
        <f>(표1[[#This Row],[TB]]-표1[[#This Row],[H]]+표1[[#This Row],[BB]]+표1[[#This Row],[SB]]-표1[[#This Row],[CS]])/표1[[#This Row],[AB]]</f>
        <v>0.4589041095890411</v>
      </c>
      <c r="AI221">
        <f>(표1[[#This Row],[TB]]+표1[[#This Row],[BB]]+표1[[#This Row],[HBP]]+표1[[#This Row],[SB]]-표1[[#This Row],[CS]])/(표1[[#This Row],[AB]]-표1[[#This Row],[H]]+표1[[#This Row],[CS]]+표1[[#This Row],[GDP]])</f>
        <v>1.0559006211180124</v>
      </c>
      <c r="AJ22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105.8091407678245</v>
      </c>
      <c r="AK221">
        <f>표1[[#This Row],[RC]]/((표1[[#This Row],[AB]]-표1[[#This Row],[H]]+표1[[#This Row],[SAC]]+표1[[#This Row],[SF]]+표1[[#This Row],[CS]]+표1[[#This Row],[GDP]])/27)</f>
        <v>8.7365345588111971</v>
      </c>
      <c r="AL22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0.41482429906542051</v>
      </c>
      <c r="AM22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99.529999999999987</v>
      </c>
    </row>
    <row r="222" spans="1:39" x14ac:dyDescent="0.3">
      <c r="A222" t="str">
        <f>_xlfn.CONCAT(표1[[#This Row],[Year]],표1[[#This Row],[Player]])</f>
        <v>2007이대형</v>
      </c>
      <c r="B222">
        <v>2007</v>
      </c>
      <c r="C222">
        <v>12</v>
      </c>
      <c r="D222" t="s">
        <v>87</v>
      </c>
      <c r="E222" t="s">
        <v>36</v>
      </c>
      <c r="F222">
        <v>0.308</v>
      </c>
      <c r="G222">
        <v>125</v>
      </c>
      <c r="H222">
        <v>509</v>
      </c>
      <c r="I222">
        <v>451</v>
      </c>
      <c r="J222">
        <v>68</v>
      </c>
      <c r="K222">
        <v>139</v>
      </c>
      <c r="L222">
        <f>표1[[#This Row],[H]]-표1[[#This Row],[2B]]-표1[[#This Row],[3B]]-표1[[#This Row],[HR]]</f>
        <v>124</v>
      </c>
      <c r="M222">
        <v>13</v>
      </c>
      <c r="N222">
        <v>1</v>
      </c>
      <c r="O222">
        <v>1</v>
      </c>
      <c r="P222">
        <v>157</v>
      </c>
      <c r="Q222">
        <v>31</v>
      </c>
      <c r="R222">
        <v>13</v>
      </c>
      <c r="S222">
        <v>2</v>
      </c>
      <c r="T222">
        <v>38</v>
      </c>
      <c r="U222">
        <v>1</v>
      </c>
      <c r="V222">
        <v>53</v>
      </c>
      <c r="W222">
        <v>20</v>
      </c>
      <c r="X222">
        <v>5</v>
      </c>
      <c r="Y222">
        <v>54</v>
      </c>
      <c r="Z222">
        <v>3</v>
      </c>
      <c r="AA222">
        <v>0.34799999999999998</v>
      </c>
      <c r="AB222">
        <v>0.36699999999999999</v>
      </c>
      <c r="AC222">
        <v>0.71499999999999997</v>
      </c>
      <c r="AD222">
        <v>43</v>
      </c>
      <c r="AE222">
        <v>0.26300000000000001</v>
      </c>
      <c r="AF222">
        <v>0.33300000000000002</v>
      </c>
      <c r="AG222">
        <f>(표1[[#This Row],[TB]]-표1[[#This Row],[H]])/표1[[#This Row],[AB]]</f>
        <v>3.9911308203991129E-2</v>
      </c>
      <c r="AH222">
        <f>(표1[[#This Row],[TB]]-표1[[#This Row],[H]]+표1[[#This Row],[BB]]+표1[[#This Row],[SB]]-표1[[#This Row],[CS]])/표1[[#This Row],[AB]]</f>
        <v>0.19733924611973391</v>
      </c>
      <c r="AI222">
        <f>(표1[[#This Row],[TB]]+표1[[#This Row],[BB]]+표1[[#This Row],[HBP]]+표1[[#This Row],[SB]]-표1[[#This Row],[CS]])/(표1[[#This Row],[AB]]-표1[[#This Row],[H]]+표1[[#This Row],[CS]]+표1[[#This Row],[GDP]])</f>
        <v>0.69552238805970146</v>
      </c>
      <c r="AJ22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63.50003929273084</v>
      </c>
      <c r="AK222">
        <f>표1[[#This Row],[RC]]/((표1[[#This Row],[AB]]-표1[[#This Row],[H]]+표1[[#This Row],[SAC]]+표1[[#This Row],[SF]]+표1[[#This Row],[CS]]+표1[[#This Row],[GDP]])/27)</f>
        <v>4.8985744597249505</v>
      </c>
      <c r="AL22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0.32077777777777777</v>
      </c>
      <c r="AM22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63.147999999999996</v>
      </c>
    </row>
    <row r="223" spans="1:39" x14ac:dyDescent="0.3">
      <c r="A223" t="str">
        <f>_xlfn.CONCAT(표1[[#This Row],[Year]],표1[[#This Row],[Player]])</f>
        <v>2007최동수</v>
      </c>
      <c r="B223">
        <v>2007</v>
      </c>
      <c r="C223">
        <v>13</v>
      </c>
      <c r="D223" t="s">
        <v>63</v>
      </c>
      <c r="E223" t="s">
        <v>36</v>
      </c>
      <c r="F223">
        <v>0.30599999999999999</v>
      </c>
      <c r="G223">
        <v>125</v>
      </c>
      <c r="H223">
        <v>493</v>
      </c>
      <c r="I223">
        <v>431</v>
      </c>
      <c r="J223">
        <v>49</v>
      </c>
      <c r="K223">
        <v>132</v>
      </c>
      <c r="L223">
        <f>표1[[#This Row],[H]]-표1[[#This Row],[2B]]-표1[[#This Row],[3B]]-표1[[#This Row],[HR]]</f>
        <v>97</v>
      </c>
      <c r="M223">
        <v>23</v>
      </c>
      <c r="N223">
        <v>0</v>
      </c>
      <c r="O223">
        <v>12</v>
      </c>
      <c r="P223">
        <v>191</v>
      </c>
      <c r="Q223">
        <v>58</v>
      </c>
      <c r="R223">
        <v>3</v>
      </c>
      <c r="S223">
        <v>6</v>
      </c>
      <c r="T223">
        <v>48</v>
      </c>
      <c r="U223">
        <v>2</v>
      </c>
      <c r="V223">
        <v>1</v>
      </c>
      <c r="W223">
        <v>1</v>
      </c>
      <c r="X223">
        <v>5</v>
      </c>
      <c r="Y223">
        <v>52</v>
      </c>
      <c r="Z223">
        <v>16</v>
      </c>
      <c r="AA223">
        <v>0.443</v>
      </c>
      <c r="AB223">
        <v>0.378</v>
      </c>
      <c r="AC223">
        <v>0.82099999999999995</v>
      </c>
      <c r="AD223">
        <v>34</v>
      </c>
      <c r="AE223">
        <v>0.29799999999999999</v>
      </c>
      <c r="AF223">
        <v>0.25</v>
      </c>
      <c r="AG223">
        <f>(표1[[#This Row],[TB]]-표1[[#This Row],[H]])/표1[[#This Row],[AB]]</f>
        <v>0.1368909512761021</v>
      </c>
      <c r="AH223">
        <f>(표1[[#This Row],[TB]]-표1[[#This Row],[H]]+표1[[#This Row],[BB]]+표1[[#This Row],[SB]]-표1[[#This Row],[CS]])/표1[[#This Row],[AB]]</f>
        <v>0.24825986078886311</v>
      </c>
      <c r="AI223">
        <f>(표1[[#This Row],[TB]]+표1[[#This Row],[BB]]+표1[[#This Row],[HBP]]+표1[[#This Row],[SB]]-표1[[#This Row],[CS]])/(표1[[#This Row],[AB]]-표1[[#This Row],[H]]+표1[[#This Row],[CS]]+표1[[#This Row],[GDP]])</f>
        <v>0.77215189873417722</v>
      </c>
      <c r="AJ22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71.377849898580124</v>
      </c>
      <c r="AK223">
        <f>표1[[#This Row],[RC]]/((표1[[#This Row],[AB]]-표1[[#This Row],[H]]+표1[[#This Row],[SAC]]+표1[[#This Row],[SF]]+표1[[#This Row],[CS]]+표1[[#This Row],[GDP]])/27)</f>
        <v>5.9298521454205027</v>
      </c>
      <c r="AL22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0.35809631147540982</v>
      </c>
      <c r="AM22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69.134000000000015</v>
      </c>
    </row>
    <row r="224" spans="1:39" x14ac:dyDescent="0.3">
      <c r="A224" t="str">
        <f>_xlfn.CONCAT(표1[[#This Row],[Year]],표1[[#This Row],[Player]])</f>
        <v>2007전준호</v>
      </c>
      <c r="B224">
        <v>2007</v>
      </c>
      <c r="C224">
        <v>14</v>
      </c>
      <c r="D224" t="s">
        <v>38</v>
      </c>
      <c r="E224" t="s">
        <v>3</v>
      </c>
      <c r="F224">
        <v>0.29599999999999999</v>
      </c>
      <c r="G224">
        <v>121</v>
      </c>
      <c r="H224">
        <v>430</v>
      </c>
      <c r="I224">
        <v>371</v>
      </c>
      <c r="J224">
        <v>52</v>
      </c>
      <c r="K224">
        <v>110</v>
      </c>
      <c r="L224">
        <f>표1[[#This Row],[H]]-표1[[#This Row],[2B]]-표1[[#This Row],[3B]]-표1[[#This Row],[HR]]</f>
        <v>100</v>
      </c>
      <c r="M224">
        <v>8</v>
      </c>
      <c r="N224">
        <v>1</v>
      </c>
      <c r="O224">
        <v>1</v>
      </c>
      <c r="P224">
        <v>123</v>
      </c>
      <c r="Q224">
        <v>13</v>
      </c>
      <c r="R224">
        <v>8</v>
      </c>
      <c r="S224">
        <v>2</v>
      </c>
      <c r="T224">
        <v>40</v>
      </c>
      <c r="U224">
        <v>1</v>
      </c>
      <c r="V224">
        <v>11</v>
      </c>
      <c r="W224">
        <v>8</v>
      </c>
      <c r="X224">
        <v>9</v>
      </c>
      <c r="Y224">
        <v>45</v>
      </c>
      <c r="Z224">
        <v>6</v>
      </c>
      <c r="AA224">
        <v>0.33200000000000002</v>
      </c>
      <c r="AB224">
        <v>0.377</v>
      </c>
      <c r="AC224">
        <v>0.70899999999999996</v>
      </c>
      <c r="AD224">
        <v>28</v>
      </c>
      <c r="AE224">
        <v>0.24099999999999999</v>
      </c>
      <c r="AF224">
        <v>0.375</v>
      </c>
      <c r="AG224">
        <f>(표1[[#This Row],[TB]]-표1[[#This Row],[H]])/표1[[#This Row],[AB]]</f>
        <v>3.5040431266846361E-2</v>
      </c>
      <c r="AH224">
        <f>(표1[[#This Row],[TB]]-표1[[#This Row],[H]]+표1[[#This Row],[BB]]+표1[[#This Row],[SB]]-표1[[#This Row],[CS]])/표1[[#This Row],[AB]]</f>
        <v>0.15094339622641509</v>
      </c>
      <c r="AI224">
        <f>(표1[[#This Row],[TB]]+표1[[#This Row],[BB]]+표1[[#This Row],[HBP]]+표1[[#This Row],[SB]]-표1[[#This Row],[CS]])/(표1[[#This Row],[AB]]-표1[[#This Row],[H]]+표1[[#This Row],[CS]]+표1[[#This Row],[GDP]])</f>
        <v>0.63636363636363635</v>
      </c>
      <c r="AJ22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49.367441860465107</v>
      </c>
      <c r="AK224">
        <f>표1[[#This Row],[RC]]/((표1[[#This Row],[AB]]-표1[[#This Row],[H]]+표1[[#This Row],[SAC]]+표1[[#This Row],[SF]]+표1[[#This Row],[CS]]+표1[[#This Row],[GDP]])/27)</f>
        <v>4.6769155446756416</v>
      </c>
      <c r="AL22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0.32198099762470311</v>
      </c>
      <c r="AM22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49.22</v>
      </c>
    </row>
    <row r="225" spans="1:39" x14ac:dyDescent="0.3">
      <c r="A225" t="str">
        <f>_xlfn.CONCAT(표1[[#This Row],[Year]],표1[[#This Row],[Player]])</f>
        <v>2007정수근</v>
      </c>
      <c r="B225">
        <v>2007</v>
      </c>
      <c r="C225">
        <v>15</v>
      </c>
      <c r="D225" t="s">
        <v>69</v>
      </c>
      <c r="E225" t="s">
        <v>17</v>
      </c>
      <c r="F225">
        <v>0.29299999999999998</v>
      </c>
      <c r="G225">
        <v>105</v>
      </c>
      <c r="H225">
        <v>395</v>
      </c>
      <c r="I225">
        <v>341</v>
      </c>
      <c r="J225">
        <v>45</v>
      </c>
      <c r="K225">
        <v>100</v>
      </c>
      <c r="L225">
        <f>표1[[#This Row],[H]]-표1[[#This Row],[2B]]-표1[[#This Row],[3B]]-표1[[#This Row],[HR]]</f>
        <v>70</v>
      </c>
      <c r="M225">
        <v>25</v>
      </c>
      <c r="N225">
        <v>1</v>
      </c>
      <c r="O225">
        <v>4</v>
      </c>
      <c r="P225">
        <v>139</v>
      </c>
      <c r="Q225">
        <v>36</v>
      </c>
      <c r="R225">
        <v>9</v>
      </c>
      <c r="S225">
        <v>2</v>
      </c>
      <c r="T225">
        <v>42</v>
      </c>
      <c r="U225">
        <v>0</v>
      </c>
      <c r="V225">
        <v>10</v>
      </c>
      <c r="W225">
        <v>5</v>
      </c>
      <c r="X225">
        <v>1</v>
      </c>
      <c r="Y225">
        <v>38</v>
      </c>
      <c r="Z225">
        <v>6</v>
      </c>
      <c r="AA225">
        <v>0.40799999999999997</v>
      </c>
      <c r="AB225">
        <v>0.37</v>
      </c>
      <c r="AC225">
        <v>0.77800000000000002</v>
      </c>
      <c r="AD225">
        <v>28</v>
      </c>
      <c r="AE225">
        <v>0.36</v>
      </c>
      <c r="AF225">
        <v>0.2</v>
      </c>
      <c r="AG225">
        <f>(표1[[#This Row],[TB]]-표1[[#This Row],[H]])/표1[[#This Row],[AB]]</f>
        <v>0.11436950146627566</v>
      </c>
      <c r="AH225">
        <f>(표1[[#This Row],[TB]]-표1[[#This Row],[H]]+표1[[#This Row],[BB]]+표1[[#This Row],[SB]]-표1[[#This Row],[CS]])/표1[[#This Row],[AB]]</f>
        <v>0.25219941348973607</v>
      </c>
      <c r="AI225">
        <f>(표1[[#This Row],[TB]]+표1[[#This Row],[BB]]+표1[[#This Row],[HBP]]+표1[[#This Row],[SB]]-표1[[#This Row],[CS]])/(표1[[#This Row],[AB]]-표1[[#This Row],[H]]+표1[[#This Row],[CS]]+표1[[#This Row],[GDP]])</f>
        <v>0.74206349206349209</v>
      </c>
      <c r="AJ22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53.83594936708861</v>
      </c>
      <c r="AK225">
        <f>표1[[#This Row],[RC]]/((표1[[#This Row],[AB]]-표1[[#This Row],[H]]+표1[[#This Row],[SAC]]+표1[[#This Row],[SF]]+표1[[#This Row],[CS]]+표1[[#This Row],[GDP]])/27)</f>
        <v>5.5268845357847622</v>
      </c>
      <c r="AL22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0.34423316062176162</v>
      </c>
      <c r="AM22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51.505999999999993</v>
      </c>
    </row>
    <row r="226" spans="1:39" x14ac:dyDescent="0.3">
      <c r="A226" t="str">
        <f>_xlfn.CONCAT(표1[[#This Row],[Year]],표1[[#This Row],[Player]])</f>
        <v>2007김태균</v>
      </c>
      <c r="B226">
        <v>2007</v>
      </c>
      <c r="C226">
        <v>16</v>
      </c>
      <c r="D226" t="s">
        <v>10</v>
      </c>
      <c r="E226" t="s">
        <v>11</v>
      </c>
      <c r="F226">
        <v>0.28999999999999998</v>
      </c>
      <c r="G226">
        <v>118</v>
      </c>
      <c r="H226">
        <v>491</v>
      </c>
      <c r="I226">
        <v>393</v>
      </c>
      <c r="J226">
        <v>62</v>
      </c>
      <c r="K226">
        <v>114</v>
      </c>
      <c r="L226">
        <f>표1[[#This Row],[H]]-표1[[#This Row],[2B]]-표1[[#This Row],[3B]]-표1[[#This Row],[HR]]</f>
        <v>80</v>
      </c>
      <c r="M226">
        <v>13</v>
      </c>
      <c r="N226">
        <v>0</v>
      </c>
      <c r="O226">
        <v>21</v>
      </c>
      <c r="P226">
        <v>190</v>
      </c>
      <c r="Q226">
        <v>85</v>
      </c>
      <c r="R226">
        <v>0</v>
      </c>
      <c r="S226">
        <v>6</v>
      </c>
      <c r="T226">
        <v>90</v>
      </c>
      <c r="U226">
        <v>4</v>
      </c>
      <c r="V226">
        <v>2</v>
      </c>
      <c r="W226">
        <v>1</v>
      </c>
      <c r="X226">
        <v>2</v>
      </c>
      <c r="Y226">
        <v>70</v>
      </c>
      <c r="Z226">
        <v>13</v>
      </c>
      <c r="AA226">
        <v>0.48299999999999998</v>
      </c>
      <c r="AB226">
        <v>0.42</v>
      </c>
      <c r="AC226">
        <v>0.90300000000000002</v>
      </c>
      <c r="AD226">
        <v>31</v>
      </c>
      <c r="AE226">
        <v>0.373</v>
      </c>
      <c r="AF226">
        <v>0</v>
      </c>
      <c r="AG226">
        <f>(표1[[#This Row],[TB]]-표1[[#This Row],[H]])/표1[[#This Row],[AB]]</f>
        <v>0.19338422391857507</v>
      </c>
      <c r="AH226">
        <f>(표1[[#This Row],[TB]]-표1[[#This Row],[H]]+표1[[#This Row],[BB]]+표1[[#This Row],[SB]]-표1[[#This Row],[CS]])/표1[[#This Row],[AB]]</f>
        <v>0.42493638676844786</v>
      </c>
      <c r="AI226">
        <f>(표1[[#This Row],[TB]]+표1[[#This Row],[BB]]+표1[[#This Row],[HBP]]+표1[[#This Row],[SB]]-표1[[#This Row],[CS]])/(표1[[#This Row],[AB]]-표1[[#This Row],[H]]+표1[[#This Row],[CS]]+표1[[#This Row],[GDP]])</f>
        <v>0.96587030716723554</v>
      </c>
      <c r="AJ22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84.871038696537681</v>
      </c>
      <c r="AK226">
        <f>표1[[#This Row],[RC]]/((표1[[#This Row],[AB]]-표1[[#This Row],[H]]+표1[[#This Row],[SAC]]+표1[[#This Row],[SF]]+표1[[#This Row],[CS]]+표1[[#This Row],[GDP]])/27)</f>
        <v>7.6639399491856768</v>
      </c>
      <c r="AL22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0.39250308008213552</v>
      </c>
      <c r="AM22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82.3</v>
      </c>
    </row>
    <row r="227" spans="1:39" x14ac:dyDescent="0.3">
      <c r="A227" t="str">
        <f>_xlfn.CONCAT(표1[[#This Row],[Year]],표1[[#This Row],[Player]])</f>
        <v>2007정성훈</v>
      </c>
      <c r="B227">
        <v>2007</v>
      </c>
      <c r="C227">
        <v>17</v>
      </c>
      <c r="D227" t="s">
        <v>61</v>
      </c>
      <c r="E227" t="s">
        <v>3</v>
      </c>
      <c r="F227">
        <v>0.28999999999999998</v>
      </c>
      <c r="G227">
        <v>122</v>
      </c>
      <c r="H227">
        <v>503</v>
      </c>
      <c r="I227">
        <v>445</v>
      </c>
      <c r="J227">
        <v>59</v>
      </c>
      <c r="K227">
        <v>129</v>
      </c>
      <c r="L227">
        <f>표1[[#This Row],[H]]-표1[[#This Row],[2B]]-표1[[#This Row],[3B]]-표1[[#This Row],[HR]]</f>
        <v>83</v>
      </c>
      <c r="M227">
        <v>29</v>
      </c>
      <c r="N227">
        <v>1</v>
      </c>
      <c r="O227">
        <v>16</v>
      </c>
      <c r="P227">
        <v>208</v>
      </c>
      <c r="Q227">
        <v>76</v>
      </c>
      <c r="R227">
        <v>7</v>
      </c>
      <c r="S227">
        <v>3</v>
      </c>
      <c r="T227">
        <v>40</v>
      </c>
      <c r="U227">
        <v>5</v>
      </c>
      <c r="V227">
        <v>1</v>
      </c>
      <c r="W227">
        <v>2</v>
      </c>
      <c r="X227">
        <v>8</v>
      </c>
      <c r="Y227">
        <v>66</v>
      </c>
      <c r="Z227">
        <v>9</v>
      </c>
      <c r="AA227">
        <v>0.46700000000000003</v>
      </c>
      <c r="AB227">
        <v>0.35699999999999998</v>
      </c>
      <c r="AC227">
        <v>0.82399999999999995</v>
      </c>
      <c r="AD227">
        <v>34</v>
      </c>
      <c r="AE227">
        <v>0.29499999999999998</v>
      </c>
      <c r="AF227">
        <v>0</v>
      </c>
      <c r="AG227">
        <f>(표1[[#This Row],[TB]]-표1[[#This Row],[H]])/표1[[#This Row],[AB]]</f>
        <v>0.17752808988764046</v>
      </c>
      <c r="AH227">
        <f>(표1[[#This Row],[TB]]-표1[[#This Row],[H]]+표1[[#This Row],[BB]]+표1[[#This Row],[SB]]-표1[[#This Row],[CS]])/표1[[#This Row],[AB]]</f>
        <v>0.26516853932584272</v>
      </c>
      <c r="AI227">
        <f>(표1[[#This Row],[TB]]+표1[[#This Row],[BB]]+표1[[#This Row],[HBP]]+표1[[#This Row],[SB]]-표1[[#This Row],[CS]])/(표1[[#This Row],[AB]]-표1[[#This Row],[H]]+표1[[#This Row],[CS]]+표1[[#This Row],[GDP]])</f>
        <v>0.77981651376146788</v>
      </c>
      <c r="AJ22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74.221471172962225</v>
      </c>
      <c r="AK227">
        <f>표1[[#This Row],[RC]]/((표1[[#This Row],[AB]]-표1[[#This Row],[H]]+표1[[#This Row],[SAC]]+표1[[#This Row],[SF]]+표1[[#This Row],[CS]]+표1[[#This Row],[GDP]])/27)</f>
        <v>5.9465273640058758</v>
      </c>
      <c r="AL22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0.35500407331975559</v>
      </c>
      <c r="AM22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70.962000000000003</v>
      </c>
    </row>
    <row r="228" spans="1:39" x14ac:dyDescent="0.3">
      <c r="A228" t="str">
        <f>_xlfn.CONCAT(표1[[#This Row],[Year]],표1[[#This Row],[Player]])</f>
        <v>2007이종열</v>
      </c>
      <c r="B228">
        <v>2007</v>
      </c>
      <c r="C228">
        <v>18</v>
      </c>
      <c r="D228" t="s">
        <v>88</v>
      </c>
      <c r="E228" t="s">
        <v>36</v>
      </c>
      <c r="F228">
        <v>0.28499999999999998</v>
      </c>
      <c r="G228">
        <v>121</v>
      </c>
      <c r="H228">
        <v>459</v>
      </c>
      <c r="I228">
        <v>389</v>
      </c>
      <c r="J228">
        <v>46</v>
      </c>
      <c r="K228">
        <v>111</v>
      </c>
      <c r="L228">
        <f>표1[[#This Row],[H]]-표1[[#This Row],[2B]]-표1[[#This Row],[3B]]-표1[[#This Row],[HR]]</f>
        <v>92</v>
      </c>
      <c r="M228">
        <v>13</v>
      </c>
      <c r="N228">
        <v>2</v>
      </c>
      <c r="O228">
        <v>4</v>
      </c>
      <c r="P228">
        <v>140</v>
      </c>
      <c r="Q228">
        <v>53</v>
      </c>
      <c r="R228">
        <v>19</v>
      </c>
      <c r="S228">
        <v>4</v>
      </c>
      <c r="T228">
        <v>46</v>
      </c>
      <c r="U228">
        <v>0</v>
      </c>
      <c r="V228">
        <v>5</v>
      </c>
      <c r="W228">
        <v>3</v>
      </c>
      <c r="X228">
        <v>1</v>
      </c>
      <c r="Y228">
        <v>39</v>
      </c>
      <c r="Z228">
        <v>8</v>
      </c>
      <c r="AA228">
        <v>0.36</v>
      </c>
      <c r="AB228">
        <v>0.35899999999999999</v>
      </c>
      <c r="AC228">
        <v>0.71899999999999997</v>
      </c>
      <c r="AD228">
        <v>25</v>
      </c>
      <c r="AE228">
        <v>0.28899999999999998</v>
      </c>
      <c r="AF228">
        <v>0.33300000000000002</v>
      </c>
      <c r="AG228">
        <f>(표1[[#This Row],[TB]]-표1[[#This Row],[H]])/표1[[#This Row],[AB]]</f>
        <v>7.4550128534704371E-2</v>
      </c>
      <c r="AH228">
        <f>(표1[[#This Row],[TB]]-표1[[#This Row],[H]]+표1[[#This Row],[BB]]+표1[[#This Row],[SB]]-표1[[#This Row],[CS]])/표1[[#This Row],[AB]]</f>
        <v>0.19794344473007713</v>
      </c>
      <c r="AI228">
        <f>(표1[[#This Row],[TB]]+표1[[#This Row],[BB]]+표1[[#This Row],[HBP]]+표1[[#This Row],[SB]]-표1[[#This Row],[CS]])/(표1[[#This Row],[AB]]-표1[[#This Row],[H]]+표1[[#This Row],[CS]]+표1[[#This Row],[GDP]])</f>
        <v>0.65397923875432529</v>
      </c>
      <c r="AJ22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53.413202614379088</v>
      </c>
      <c r="AK228">
        <f>표1[[#This Row],[RC]]/((표1[[#This Row],[AB]]-표1[[#This Row],[H]]+표1[[#This Row],[SAC]]+표1[[#This Row],[SF]]+표1[[#This Row],[CS]]+표1[[#This Row],[GDP]])/27)</f>
        <v>4.6222963800904981</v>
      </c>
      <c r="AL22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0.32180681818181817</v>
      </c>
      <c r="AM22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53.067999999999991</v>
      </c>
    </row>
    <row r="229" spans="1:39" x14ac:dyDescent="0.3">
      <c r="A229" t="str">
        <f>_xlfn.CONCAT(표1[[#This Row],[Year]],표1[[#This Row],[Player]])</f>
        <v>2007발데스</v>
      </c>
      <c r="B229">
        <v>2007</v>
      </c>
      <c r="C229">
        <v>19</v>
      </c>
      <c r="D229" t="s">
        <v>89</v>
      </c>
      <c r="E229" t="s">
        <v>36</v>
      </c>
      <c r="F229">
        <v>0.28299999999999997</v>
      </c>
      <c r="G229">
        <v>116</v>
      </c>
      <c r="H229">
        <v>512</v>
      </c>
      <c r="I229">
        <v>435</v>
      </c>
      <c r="J229">
        <v>50</v>
      </c>
      <c r="K229">
        <v>123</v>
      </c>
      <c r="L229">
        <f>표1[[#This Row],[H]]-표1[[#This Row],[2B]]-표1[[#This Row],[3B]]-표1[[#This Row],[HR]]</f>
        <v>95</v>
      </c>
      <c r="M229">
        <v>15</v>
      </c>
      <c r="N229">
        <v>0</v>
      </c>
      <c r="O229">
        <v>13</v>
      </c>
      <c r="P229">
        <v>177</v>
      </c>
      <c r="Q229">
        <v>72</v>
      </c>
      <c r="R229">
        <v>0</v>
      </c>
      <c r="S229">
        <v>5</v>
      </c>
      <c r="T229">
        <v>70</v>
      </c>
      <c r="U229">
        <v>4</v>
      </c>
      <c r="V229">
        <v>4</v>
      </c>
      <c r="W229">
        <v>1</v>
      </c>
      <c r="X229">
        <v>2</v>
      </c>
      <c r="Y229">
        <v>49</v>
      </c>
      <c r="Z229">
        <v>14</v>
      </c>
      <c r="AA229">
        <v>0.40699999999999997</v>
      </c>
      <c r="AB229">
        <v>0.38100000000000001</v>
      </c>
      <c r="AC229">
        <v>0.78800000000000003</v>
      </c>
      <c r="AD229">
        <v>33</v>
      </c>
      <c r="AE229">
        <v>0.27800000000000002</v>
      </c>
      <c r="AF229">
        <v>0</v>
      </c>
      <c r="AG229">
        <f>(표1[[#This Row],[TB]]-표1[[#This Row],[H]])/표1[[#This Row],[AB]]</f>
        <v>0.12413793103448276</v>
      </c>
      <c r="AH229">
        <f>(표1[[#This Row],[TB]]-표1[[#This Row],[H]]+표1[[#This Row],[BB]]+표1[[#This Row],[SB]]-표1[[#This Row],[CS]])/표1[[#This Row],[AB]]</f>
        <v>0.29195402298850576</v>
      </c>
      <c r="AI229">
        <f>(표1[[#This Row],[TB]]+표1[[#This Row],[BB]]+표1[[#This Row],[HBP]]+표1[[#This Row],[SB]]-표1[[#This Row],[CS]])/(표1[[#This Row],[AB]]-표1[[#This Row],[H]]+표1[[#This Row],[CS]]+표1[[#This Row],[GDP]])</f>
        <v>0.77064220183486243</v>
      </c>
      <c r="AJ22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70.087500000000006</v>
      </c>
      <c r="AK229">
        <f>표1[[#This Row],[RC]]/((표1[[#This Row],[AB]]-표1[[#This Row],[H]]+표1[[#This Row],[SAC]]+표1[[#This Row],[SF]]+표1[[#This Row],[CS]]+표1[[#This Row],[GDP]])/27)</f>
        <v>5.6998870481927719</v>
      </c>
      <c r="AL22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0.34771456692913383</v>
      </c>
      <c r="AM22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69.738</v>
      </c>
    </row>
    <row r="230" spans="1:39" x14ac:dyDescent="0.3">
      <c r="A230" t="str">
        <f>_xlfn.CONCAT(표1[[#This Row],[Year]],표1[[#This Row],[Player]])</f>
        <v>2007정보명</v>
      </c>
      <c r="B230">
        <v>2007</v>
      </c>
      <c r="C230">
        <v>20</v>
      </c>
      <c r="D230" t="s">
        <v>90</v>
      </c>
      <c r="E230" t="s">
        <v>17</v>
      </c>
      <c r="F230">
        <v>0.28199999999999997</v>
      </c>
      <c r="G230">
        <v>119</v>
      </c>
      <c r="H230">
        <v>436</v>
      </c>
      <c r="I230">
        <v>394</v>
      </c>
      <c r="J230">
        <v>40</v>
      </c>
      <c r="K230">
        <v>111</v>
      </c>
      <c r="L230">
        <f>표1[[#This Row],[H]]-표1[[#This Row],[2B]]-표1[[#This Row],[3B]]-표1[[#This Row],[HR]]</f>
        <v>82</v>
      </c>
      <c r="M230">
        <v>24</v>
      </c>
      <c r="N230">
        <v>3</v>
      </c>
      <c r="O230">
        <v>2</v>
      </c>
      <c r="P230">
        <v>147</v>
      </c>
      <c r="Q230">
        <v>45</v>
      </c>
      <c r="R230">
        <v>5</v>
      </c>
      <c r="S230">
        <v>3</v>
      </c>
      <c r="T230">
        <v>30</v>
      </c>
      <c r="U230">
        <v>0</v>
      </c>
      <c r="V230">
        <v>5</v>
      </c>
      <c r="W230">
        <v>1</v>
      </c>
      <c r="X230">
        <v>4</v>
      </c>
      <c r="Y230">
        <v>75</v>
      </c>
      <c r="Z230">
        <v>12</v>
      </c>
      <c r="AA230">
        <v>0.373</v>
      </c>
      <c r="AB230">
        <v>0.33600000000000002</v>
      </c>
      <c r="AC230">
        <v>0.70899999999999996</v>
      </c>
      <c r="AD230">
        <v>29</v>
      </c>
      <c r="AE230">
        <v>0.29499999999999998</v>
      </c>
      <c r="AF230">
        <v>0.14299999999999999</v>
      </c>
      <c r="AG230">
        <f>(표1[[#This Row],[TB]]-표1[[#This Row],[H]])/표1[[#This Row],[AB]]</f>
        <v>9.1370558375634514E-2</v>
      </c>
      <c r="AH230">
        <f>(표1[[#This Row],[TB]]-표1[[#This Row],[H]]+표1[[#This Row],[BB]]+표1[[#This Row],[SB]]-표1[[#This Row],[CS]])/표1[[#This Row],[AB]]</f>
        <v>0.17766497461928935</v>
      </c>
      <c r="AI230">
        <f>(표1[[#This Row],[TB]]+표1[[#This Row],[BB]]+표1[[#This Row],[HBP]]+표1[[#This Row],[SB]]-표1[[#This Row],[CS]])/(표1[[#This Row],[AB]]-표1[[#This Row],[H]]+표1[[#This Row],[CS]]+표1[[#This Row],[GDP]])</f>
        <v>0.625</v>
      </c>
      <c r="AJ23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49.227522935779817</v>
      </c>
      <c r="AK230">
        <f>표1[[#This Row],[RC]]/((표1[[#This Row],[AB]]-표1[[#This Row],[H]]+표1[[#This Row],[SAC]]+표1[[#This Row],[SF]]+표1[[#This Row],[CS]]+표1[[#This Row],[GDP]])/27)</f>
        <v>4.3721813133751812</v>
      </c>
      <c r="AL23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0.31361716937354983</v>
      </c>
      <c r="AM23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47.22</v>
      </c>
    </row>
    <row r="231" spans="1:39" x14ac:dyDescent="0.3">
      <c r="A231" t="str">
        <f>_xlfn.CONCAT(표1[[#This Row],[Year]],표1[[#This Row],[Player]])</f>
        <v>2007조인성</v>
      </c>
      <c r="B231">
        <v>2007</v>
      </c>
      <c r="C231">
        <v>21</v>
      </c>
      <c r="D231" t="s">
        <v>43</v>
      </c>
      <c r="E231" t="s">
        <v>36</v>
      </c>
      <c r="F231">
        <v>0.28199999999999997</v>
      </c>
      <c r="G231">
        <v>124</v>
      </c>
      <c r="H231">
        <v>464</v>
      </c>
      <c r="I231">
        <v>419</v>
      </c>
      <c r="J231">
        <v>44</v>
      </c>
      <c r="K231">
        <v>118</v>
      </c>
      <c r="L231">
        <f>표1[[#This Row],[H]]-표1[[#This Row],[2B]]-표1[[#This Row],[3B]]-표1[[#This Row],[HR]]</f>
        <v>81</v>
      </c>
      <c r="M231">
        <v>24</v>
      </c>
      <c r="N231">
        <v>0</v>
      </c>
      <c r="O231">
        <v>13</v>
      </c>
      <c r="P231">
        <v>181</v>
      </c>
      <c r="Q231">
        <v>73</v>
      </c>
      <c r="R231">
        <v>6</v>
      </c>
      <c r="S231">
        <v>5</v>
      </c>
      <c r="T231">
        <v>30</v>
      </c>
      <c r="U231">
        <v>3</v>
      </c>
      <c r="V231">
        <v>1</v>
      </c>
      <c r="W231">
        <v>1</v>
      </c>
      <c r="X231">
        <v>4</v>
      </c>
      <c r="Y231">
        <v>61</v>
      </c>
      <c r="Z231">
        <v>8</v>
      </c>
      <c r="AA231">
        <v>0.432</v>
      </c>
      <c r="AB231">
        <v>0.33200000000000002</v>
      </c>
      <c r="AC231">
        <v>0.76400000000000001</v>
      </c>
      <c r="AD231">
        <v>33</v>
      </c>
      <c r="AE231">
        <v>0.28399999999999997</v>
      </c>
      <c r="AF231">
        <v>0</v>
      </c>
      <c r="AG231">
        <f>(표1[[#This Row],[TB]]-표1[[#This Row],[H]])/표1[[#This Row],[AB]]</f>
        <v>0.15035799522673032</v>
      </c>
      <c r="AH231">
        <f>(표1[[#This Row],[TB]]-표1[[#This Row],[H]]+표1[[#This Row],[BB]]+표1[[#This Row],[SB]]-표1[[#This Row],[CS]])/표1[[#This Row],[AB]]</f>
        <v>0.22195704057279236</v>
      </c>
      <c r="AI231">
        <f>(표1[[#This Row],[TB]]+표1[[#This Row],[BB]]+표1[[#This Row],[HBP]]+표1[[#This Row],[SB]]-표1[[#This Row],[CS]])/(표1[[#This Row],[AB]]-표1[[#This Row],[H]]+표1[[#This Row],[CS]]+표1[[#This Row],[GDP]])</f>
        <v>0.69354838709677424</v>
      </c>
      <c r="AJ23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60.189439655172414</v>
      </c>
      <c r="AK231">
        <f>표1[[#This Row],[RC]]/((표1[[#This Row],[AB]]-표1[[#This Row],[H]]+표1[[#This Row],[SAC]]+표1[[#This Row],[SF]]+표1[[#This Row],[CS]]+표1[[#This Row],[GDP]])/27)</f>
        <v>5.0626631485659042</v>
      </c>
      <c r="AL23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0.32982637362637363</v>
      </c>
      <c r="AM23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59.202000000000027</v>
      </c>
    </row>
    <row r="232" spans="1:39" x14ac:dyDescent="0.3">
      <c r="A232" t="str">
        <f>_xlfn.CONCAT(표1[[#This Row],[Year]],표1[[#This Row],[Player]])</f>
        <v>2007장성호</v>
      </c>
      <c r="B232">
        <v>2007</v>
      </c>
      <c r="C232">
        <v>22</v>
      </c>
      <c r="D232" t="s">
        <v>12</v>
      </c>
      <c r="E232" t="s">
        <v>13</v>
      </c>
      <c r="F232">
        <v>0.28100000000000003</v>
      </c>
      <c r="G232">
        <v>116</v>
      </c>
      <c r="H232">
        <v>464</v>
      </c>
      <c r="I232">
        <v>395</v>
      </c>
      <c r="J232">
        <v>55</v>
      </c>
      <c r="K232">
        <v>111</v>
      </c>
      <c r="L232">
        <f>표1[[#This Row],[H]]-표1[[#This Row],[2B]]-표1[[#This Row],[3B]]-표1[[#This Row],[HR]]</f>
        <v>78</v>
      </c>
      <c r="M232">
        <v>22</v>
      </c>
      <c r="N232">
        <v>0</v>
      </c>
      <c r="O232">
        <v>11</v>
      </c>
      <c r="P232">
        <v>166</v>
      </c>
      <c r="Q232">
        <v>62</v>
      </c>
      <c r="R232">
        <v>0</v>
      </c>
      <c r="S232">
        <v>3</v>
      </c>
      <c r="T232">
        <v>63</v>
      </c>
      <c r="U232">
        <v>3</v>
      </c>
      <c r="V232">
        <v>9</v>
      </c>
      <c r="W232">
        <v>4</v>
      </c>
      <c r="X232">
        <v>3</v>
      </c>
      <c r="Y232">
        <v>30</v>
      </c>
      <c r="Z232">
        <v>10</v>
      </c>
      <c r="AA232">
        <v>0.42</v>
      </c>
      <c r="AB232">
        <v>0.38100000000000001</v>
      </c>
      <c r="AC232">
        <v>0.80100000000000005</v>
      </c>
      <c r="AD232">
        <v>29</v>
      </c>
      <c r="AE232">
        <v>0.23599999999999999</v>
      </c>
      <c r="AF232">
        <v>0.375</v>
      </c>
      <c r="AG232">
        <f>(표1[[#This Row],[TB]]-표1[[#This Row],[H]])/표1[[#This Row],[AB]]</f>
        <v>0.13924050632911392</v>
      </c>
      <c r="AH232">
        <f>(표1[[#This Row],[TB]]-표1[[#This Row],[H]]+표1[[#This Row],[BB]]+표1[[#This Row],[SB]]-표1[[#This Row],[CS]])/표1[[#This Row],[AB]]</f>
        <v>0.31139240506329113</v>
      </c>
      <c r="AI232">
        <f>(표1[[#This Row],[TB]]+표1[[#This Row],[BB]]+표1[[#This Row],[HBP]]+표1[[#This Row],[SB]]-표1[[#This Row],[CS]])/(표1[[#This Row],[AB]]-표1[[#This Row],[H]]+표1[[#This Row],[CS]]+표1[[#This Row],[GDP]])</f>
        <v>0.79530201342281881</v>
      </c>
      <c r="AJ23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66.2609051724138</v>
      </c>
      <c r="AK232">
        <f>표1[[#This Row],[RC]]/((표1[[#This Row],[AB]]-표1[[#This Row],[H]]+표1[[#This Row],[SAC]]+표1[[#This Row],[SF]]+표1[[#This Row],[CS]]+표1[[#This Row],[GDP]])/27)</f>
        <v>5.9436692347347924</v>
      </c>
      <c r="AL23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0.3532971800433839</v>
      </c>
      <c r="AM23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64.800000000000011</v>
      </c>
    </row>
    <row r="233" spans="1:39" x14ac:dyDescent="0.3">
      <c r="A233" t="str">
        <f>_xlfn.CONCAT(표1[[#This Row],[Year]],표1[[#This Row],[Player]])</f>
        <v>2007송지만</v>
      </c>
      <c r="B233">
        <v>2007</v>
      </c>
      <c r="C233">
        <v>23</v>
      </c>
      <c r="D233" t="s">
        <v>62</v>
      </c>
      <c r="E233" t="s">
        <v>3</v>
      </c>
      <c r="F233">
        <v>0.28100000000000003</v>
      </c>
      <c r="G233">
        <v>120</v>
      </c>
      <c r="H233">
        <v>478</v>
      </c>
      <c r="I233">
        <v>413</v>
      </c>
      <c r="J233">
        <v>54</v>
      </c>
      <c r="K233">
        <v>116</v>
      </c>
      <c r="L233">
        <f>표1[[#This Row],[H]]-표1[[#This Row],[2B]]-표1[[#This Row],[3B]]-표1[[#This Row],[HR]]</f>
        <v>76</v>
      </c>
      <c r="M233">
        <v>25</v>
      </c>
      <c r="N233">
        <v>0</v>
      </c>
      <c r="O233">
        <v>15</v>
      </c>
      <c r="P233">
        <v>186</v>
      </c>
      <c r="Q233">
        <v>64</v>
      </c>
      <c r="R233">
        <v>10</v>
      </c>
      <c r="S233">
        <v>5</v>
      </c>
      <c r="T233">
        <v>44</v>
      </c>
      <c r="U233">
        <v>5</v>
      </c>
      <c r="V233">
        <v>10</v>
      </c>
      <c r="W233">
        <v>4</v>
      </c>
      <c r="X233">
        <v>6</v>
      </c>
      <c r="Y233">
        <v>68</v>
      </c>
      <c r="Z233">
        <v>12</v>
      </c>
      <c r="AA233">
        <v>0.45</v>
      </c>
      <c r="AB233">
        <v>0.35499999999999998</v>
      </c>
      <c r="AC233">
        <v>0.80500000000000005</v>
      </c>
      <c r="AD233">
        <v>31</v>
      </c>
      <c r="AE233">
        <v>0.29899999999999999</v>
      </c>
      <c r="AF233">
        <v>0.16700000000000001</v>
      </c>
      <c r="AG233">
        <f>(표1[[#This Row],[TB]]-표1[[#This Row],[H]])/표1[[#This Row],[AB]]</f>
        <v>0.16949152542372881</v>
      </c>
      <c r="AH233">
        <f>(표1[[#This Row],[TB]]-표1[[#This Row],[H]]+표1[[#This Row],[BB]]+표1[[#This Row],[SB]]-표1[[#This Row],[CS]])/표1[[#This Row],[AB]]</f>
        <v>0.29055690072639223</v>
      </c>
      <c r="AI233">
        <f>(표1[[#This Row],[TB]]+표1[[#This Row],[BB]]+표1[[#This Row],[HBP]]+표1[[#This Row],[SB]]-표1[[#This Row],[CS]])/(표1[[#This Row],[AB]]-표1[[#This Row],[H]]+표1[[#This Row],[CS]]+표1[[#This Row],[GDP]])</f>
        <v>0.77316293929712465</v>
      </c>
      <c r="AJ23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66.11924686192468</v>
      </c>
      <c r="AK233">
        <f>표1[[#This Row],[RC]]/((표1[[#This Row],[AB]]-표1[[#This Row],[H]]+표1[[#This Row],[SAC]]+표1[[#This Row],[SF]]+표1[[#This Row],[CS]]+표1[[#This Row],[GDP]])/27)</f>
        <v>5.4427428819267263</v>
      </c>
      <c r="AL23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0.34721382289416847</v>
      </c>
      <c r="AM23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65.205999999999989</v>
      </c>
    </row>
    <row r="234" spans="1:39" x14ac:dyDescent="0.3">
      <c r="A234" t="str">
        <f>_xlfn.CONCAT(표1[[#This Row],[Year]],표1[[#This Row],[Player]])</f>
        <v>2007이용규</v>
      </c>
      <c r="B234">
        <v>2007</v>
      </c>
      <c r="C234">
        <v>24</v>
      </c>
      <c r="D234" t="s">
        <v>74</v>
      </c>
      <c r="E234" t="s">
        <v>13</v>
      </c>
      <c r="F234">
        <v>0.28000000000000003</v>
      </c>
      <c r="G234">
        <v>118</v>
      </c>
      <c r="H234">
        <v>491</v>
      </c>
      <c r="I234">
        <v>439</v>
      </c>
      <c r="J234">
        <v>61</v>
      </c>
      <c r="K234">
        <v>123</v>
      </c>
      <c r="L234">
        <f>표1[[#This Row],[H]]-표1[[#This Row],[2B]]-표1[[#This Row],[3B]]-표1[[#This Row],[HR]]</f>
        <v>98</v>
      </c>
      <c r="M234">
        <v>17</v>
      </c>
      <c r="N234">
        <v>8</v>
      </c>
      <c r="O234">
        <v>0</v>
      </c>
      <c r="P234">
        <v>156</v>
      </c>
      <c r="Q234">
        <v>27</v>
      </c>
      <c r="R234">
        <v>5</v>
      </c>
      <c r="S234">
        <v>3</v>
      </c>
      <c r="T234">
        <v>37</v>
      </c>
      <c r="U234">
        <v>0</v>
      </c>
      <c r="V234">
        <v>17</v>
      </c>
      <c r="W234">
        <v>11</v>
      </c>
      <c r="X234">
        <v>7</v>
      </c>
      <c r="Y234">
        <v>40</v>
      </c>
      <c r="Z234">
        <v>4</v>
      </c>
      <c r="AA234">
        <v>0.35499999999999998</v>
      </c>
      <c r="AB234">
        <v>0.34399999999999997</v>
      </c>
      <c r="AC234">
        <v>0.69899999999999995</v>
      </c>
      <c r="AD234">
        <v>29</v>
      </c>
      <c r="AE234">
        <v>0.27900000000000003</v>
      </c>
      <c r="AF234">
        <v>0</v>
      </c>
      <c r="AG234">
        <f>(표1[[#This Row],[TB]]-표1[[#This Row],[H]])/표1[[#This Row],[AB]]</f>
        <v>7.5170842824601361E-2</v>
      </c>
      <c r="AH234">
        <f>(표1[[#This Row],[TB]]-표1[[#This Row],[H]]+표1[[#This Row],[BB]]+표1[[#This Row],[SB]]-표1[[#This Row],[CS]])/표1[[#This Row],[AB]]</f>
        <v>0.17312072892938496</v>
      </c>
      <c r="AI234">
        <f>(표1[[#This Row],[TB]]+표1[[#This Row],[BB]]+표1[[#This Row],[HBP]]+표1[[#This Row],[SB]]-표1[[#This Row],[CS]])/(표1[[#This Row],[AB]]-표1[[#This Row],[H]]+표1[[#This Row],[CS]]+표1[[#This Row],[GDP]])</f>
        <v>0.62235649546827798</v>
      </c>
      <c r="AJ23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55.859226069246439</v>
      </c>
      <c r="AK234">
        <f>표1[[#This Row],[RC]]/((표1[[#This Row],[AB]]-표1[[#This Row],[H]]+표1[[#This Row],[SAC]]+표1[[#This Row],[SF]]+표1[[#This Row],[CS]]+표1[[#This Row],[GDP]])/27)</f>
        <v>4.4489649081700708</v>
      </c>
      <c r="AL23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0.31145267489711936</v>
      </c>
      <c r="AM23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55.13</v>
      </c>
    </row>
    <row r="235" spans="1:39" x14ac:dyDescent="0.3">
      <c r="A235" t="str">
        <f>_xlfn.CONCAT(표1[[#This Row],[Year]],표1[[#This Row],[Player]])</f>
        <v>2007박재홍</v>
      </c>
      <c r="B235">
        <v>2007</v>
      </c>
      <c r="C235">
        <v>25</v>
      </c>
      <c r="D235" t="s">
        <v>18</v>
      </c>
      <c r="E235" t="s">
        <v>8</v>
      </c>
      <c r="F235">
        <v>0.28000000000000003</v>
      </c>
      <c r="G235">
        <v>115</v>
      </c>
      <c r="H235">
        <v>400</v>
      </c>
      <c r="I235">
        <v>347</v>
      </c>
      <c r="J235">
        <v>53</v>
      </c>
      <c r="K235">
        <v>97</v>
      </c>
      <c r="L235">
        <f>표1[[#This Row],[H]]-표1[[#This Row],[2B]]-표1[[#This Row],[3B]]-표1[[#This Row],[HR]]</f>
        <v>60</v>
      </c>
      <c r="M235">
        <v>19</v>
      </c>
      <c r="N235">
        <v>1</v>
      </c>
      <c r="O235">
        <v>17</v>
      </c>
      <c r="P235">
        <v>169</v>
      </c>
      <c r="Q235">
        <v>54</v>
      </c>
      <c r="R235">
        <v>1</v>
      </c>
      <c r="S235">
        <v>7</v>
      </c>
      <c r="T235">
        <v>41</v>
      </c>
      <c r="U235">
        <v>6</v>
      </c>
      <c r="V235">
        <v>10</v>
      </c>
      <c r="W235">
        <v>7</v>
      </c>
      <c r="X235">
        <v>4</v>
      </c>
      <c r="Y235">
        <v>52</v>
      </c>
      <c r="Z235">
        <v>5</v>
      </c>
      <c r="AA235">
        <v>0.48699999999999999</v>
      </c>
      <c r="AB235">
        <v>0.35599999999999998</v>
      </c>
      <c r="AC235">
        <v>0.84299999999999997</v>
      </c>
      <c r="AD235">
        <v>22</v>
      </c>
      <c r="AE235">
        <v>0.247</v>
      </c>
      <c r="AF235">
        <v>0.33300000000000002</v>
      </c>
      <c r="AG235">
        <f>(표1[[#This Row],[TB]]-표1[[#This Row],[H]])/표1[[#This Row],[AB]]</f>
        <v>0.207492795389049</v>
      </c>
      <c r="AH235">
        <f>(표1[[#This Row],[TB]]-표1[[#This Row],[H]]+표1[[#This Row],[BB]]+표1[[#This Row],[SB]]-표1[[#This Row],[CS]])/표1[[#This Row],[AB]]</f>
        <v>0.33429394812680113</v>
      </c>
      <c r="AI235">
        <f>(표1[[#This Row],[TB]]+표1[[#This Row],[BB]]+표1[[#This Row],[HBP]]+표1[[#This Row],[SB]]-표1[[#This Row],[CS]])/(표1[[#This Row],[AB]]-표1[[#This Row],[H]]+표1[[#This Row],[CS]]+표1[[#This Row],[GDP]])</f>
        <v>0.8282442748091603</v>
      </c>
      <c r="AJ23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61.262500000000003</v>
      </c>
      <c r="AK235">
        <f>표1[[#This Row],[RC]]/((표1[[#This Row],[AB]]-표1[[#This Row],[H]]+표1[[#This Row],[SAC]]+표1[[#This Row],[SF]]+표1[[#This Row],[CS]]+표1[[#This Row],[GDP]])/27)</f>
        <v>6.1262500000000006</v>
      </c>
      <c r="AL23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0.35769720101781166</v>
      </c>
      <c r="AM23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61.384000000000007</v>
      </c>
    </row>
    <row r="236" spans="1:39" x14ac:dyDescent="0.3">
      <c r="A236" t="str">
        <f>_xlfn.CONCAT(표1[[#This Row],[Year]],표1[[#This Row],[Player]])</f>
        <v>2007박용택</v>
      </c>
      <c r="B236">
        <v>2007</v>
      </c>
      <c r="C236">
        <v>26</v>
      </c>
      <c r="D236" t="s">
        <v>42</v>
      </c>
      <c r="E236" t="s">
        <v>36</v>
      </c>
      <c r="F236">
        <v>0.27800000000000002</v>
      </c>
      <c r="G236">
        <v>126</v>
      </c>
      <c r="H236">
        <v>532</v>
      </c>
      <c r="I236">
        <v>479</v>
      </c>
      <c r="J236">
        <v>69</v>
      </c>
      <c r="K236">
        <v>133</v>
      </c>
      <c r="L236">
        <f>표1[[#This Row],[H]]-표1[[#This Row],[2B]]-표1[[#This Row],[3B]]-표1[[#This Row],[HR]]</f>
        <v>91</v>
      </c>
      <c r="M236">
        <v>24</v>
      </c>
      <c r="N236">
        <v>4</v>
      </c>
      <c r="O236">
        <v>14</v>
      </c>
      <c r="P236">
        <v>207</v>
      </c>
      <c r="Q236">
        <v>66</v>
      </c>
      <c r="R236">
        <v>4</v>
      </c>
      <c r="S236">
        <v>5</v>
      </c>
      <c r="T236">
        <v>43</v>
      </c>
      <c r="U236">
        <v>6</v>
      </c>
      <c r="V236">
        <v>20</v>
      </c>
      <c r="W236">
        <v>2</v>
      </c>
      <c r="X236">
        <v>1</v>
      </c>
      <c r="Y236">
        <v>83</v>
      </c>
      <c r="Z236">
        <v>7</v>
      </c>
      <c r="AA236">
        <v>0.432</v>
      </c>
      <c r="AB236">
        <v>0.33500000000000002</v>
      </c>
      <c r="AC236">
        <v>0.76700000000000002</v>
      </c>
      <c r="AD236">
        <v>35</v>
      </c>
      <c r="AE236">
        <v>0.29199999999999998</v>
      </c>
      <c r="AF236">
        <v>0</v>
      </c>
      <c r="AG236">
        <f>(표1[[#This Row],[TB]]-표1[[#This Row],[H]])/표1[[#This Row],[AB]]</f>
        <v>0.1544885177453027</v>
      </c>
      <c r="AH236">
        <f>(표1[[#This Row],[TB]]-표1[[#This Row],[H]]+표1[[#This Row],[BB]]+표1[[#This Row],[SB]]-표1[[#This Row],[CS]])/표1[[#This Row],[AB]]</f>
        <v>0.28183716075156579</v>
      </c>
      <c r="AI236">
        <f>(표1[[#This Row],[TB]]+표1[[#This Row],[BB]]+표1[[#This Row],[HBP]]+표1[[#This Row],[SB]]-표1[[#This Row],[CS]])/(표1[[#This Row],[AB]]-표1[[#This Row],[H]]+표1[[#This Row],[CS]]+표1[[#This Row],[GDP]])</f>
        <v>0.75774647887323943</v>
      </c>
      <c r="AJ23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73.250526315789472</v>
      </c>
      <c r="AK236">
        <f>표1[[#This Row],[RC]]/((표1[[#This Row],[AB]]-표1[[#This Row],[H]]+표1[[#This Row],[SAC]]+표1[[#This Row],[SF]]+표1[[#This Row],[CS]]+표1[[#This Row],[GDP]])/27)</f>
        <v>5.4334181607865819</v>
      </c>
      <c r="AL23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0.32966475095785447</v>
      </c>
      <c r="AM23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72.095999999999975</v>
      </c>
    </row>
    <row r="237" spans="1:39" x14ac:dyDescent="0.3">
      <c r="A237" t="str">
        <f>_xlfn.CONCAT(표1[[#This Row],[Year]],표1[[#This Row],[Player]])</f>
        <v>2007안경현</v>
      </c>
      <c r="B237">
        <v>2007</v>
      </c>
      <c r="C237">
        <v>27</v>
      </c>
      <c r="D237" t="s">
        <v>4</v>
      </c>
      <c r="E237" t="s">
        <v>1</v>
      </c>
      <c r="F237">
        <v>0.27400000000000002</v>
      </c>
      <c r="G237">
        <v>109</v>
      </c>
      <c r="H237">
        <v>400</v>
      </c>
      <c r="I237">
        <v>351</v>
      </c>
      <c r="J237">
        <v>26</v>
      </c>
      <c r="K237">
        <v>96</v>
      </c>
      <c r="L237">
        <f>표1[[#This Row],[H]]-표1[[#This Row],[2B]]-표1[[#This Row],[3B]]-표1[[#This Row],[HR]]</f>
        <v>73</v>
      </c>
      <c r="M237">
        <v>17</v>
      </c>
      <c r="N237">
        <v>4</v>
      </c>
      <c r="O237">
        <v>2</v>
      </c>
      <c r="P237">
        <v>127</v>
      </c>
      <c r="Q237">
        <v>49</v>
      </c>
      <c r="R237">
        <v>4</v>
      </c>
      <c r="S237">
        <v>6</v>
      </c>
      <c r="T237">
        <v>33</v>
      </c>
      <c r="U237">
        <v>2</v>
      </c>
      <c r="V237">
        <v>1</v>
      </c>
      <c r="W237">
        <v>0</v>
      </c>
      <c r="X237">
        <v>6</v>
      </c>
      <c r="Y237">
        <v>27</v>
      </c>
      <c r="Z237">
        <v>13</v>
      </c>
      <c r="AA237">
        <v>0.36199999999999999</v>
      </c>
      <c r="AB237">
        <v>0.34100000000000003</v>
      </c>
      <c r="AC237">
        <v>0.70299999999999996</v>
      </c>
      <c r="AD237">
        <v>23</v>
      </c>
      <c r="AE237">
        <v>0.27800000000000002</v>
      </c>
      <c r="AF237">
        <v>0.2</v>
      </c>
      <c r="AG237">
        <f>(표1[[#This Row],[TB]]-표1[[#This Row],[H]])/표1[[#This Row],[AB]]</f>
        <v>8.8319088319088315E-2</v>
      </c>
      <c r="AH237">
        <f>(표1[[#This Row],[TB]]-표1[[#This Row],[H]]+표1[[#This Row],[BB]]+표1[[#This Row],[SB]]-표1[[#This Row],[CS]])/표1[[#This Row],[AB]]</f>
        <v>0.18518518518518517</v>
      </c>
      <c r="AI237">
        <f>(표1[[#This Row],[TB]]+표1[[#This Row],[BB]]+표1[[#This Row],[HBP]]+표1[[#This Row],[SB]]-표1[[#This Row],[CS]])/(표1[[#This Row],[AB]]-표1[[#This Row],[H]]+표1[[#This Row],[CS]]+표1[[#This Row],[GDP]])</f>
        <v>0.62313432835820892</v>
      </c>
      <c r="AJ23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43.413699999999999</v>
      </c>
      <c r="AK237">
        <f>표1[[#This Row],[RC]]/((표1[[#This Row],[AB]]-표1[[#This Row],[H]]+표1[[#This Row],[SAC]]+표1[[#This Row],[SF]]+표1[[#This Row],[CS]]+표1[[#This Row],[GDP]])/27)</f>
        <v>4.2164384892086328</v>
      </c>
      <c r="AL23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0.31000507614213196</v>
      </c>
      <c r="AM23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43.44400000000001</v>
      </c>
    </row>
    <row r="238" spans="1:39" x14ac:dyDescent="0.3">
      <c r="A238" t="str">
        <f>_xlfn.CONCAT(표1[[#This Row],[Year]],표1[[#This Row],[Player]])</f>
        <v>2007김민재</v>
      </c>
      <c r="B238">
        <v>2007</v>
      </c>
      <c r="C238">
        <v>28</v>
      </c>
      <c r="D238" t="s">
        <v>47</v>
      </c>
      <c r="E238" t="s">
        <v>11</v>
      </c>
      <c r="F238">
        <v>0.27300000000000002</v>
      </c>
      <c r="G238">
        <v>118</v>
      </c>
      <c r="H238">
        <v>451</v>
      </c>
      <c r="I238">
        <v>395</v>
      </c>
      <c r="J238">
        <v>43</v>
      </c>
      <c r="K238">
        <v>108</v>
      </c>
      <c r="L238">
        <f>표1[[#This Row],[H]]-표1[[#This Row],[2B]]-표1[[#This Row],[3B]]-표1[[#This Row],[HR]]</f>
        <v>85</v>
      </c>
      <c r="M238">
        <v>17</v>
      </c>
      <c r="N238">
        <v>0</v>
      </c>
      <c r="O238">
        <v>6</v>
      </c>
      <c r="P238">
        <v>143</v>
      </c>
      <c r="Q238">
        <v>47</v>
      </c>
      <c r="R238">
        <v>20</v>
      </c>
      <c r="S238">
        <v>1</v>
      </c>
      <c r="T238">
        <v>29</v>
      </c>
      <c r="U238">
        <v>0</v>
      </c>
      <c r="V238">
        <v>7</v>
      </c>
      <c r="W238">
        <v>3</v>
      </c>
      <c r="X238">
        <v>6</v>
      </c>
      <c r="Y238">
        <v>36</v>
      </c>
      <c r="Z238">
        <v>9</v>
      </c>
      <c r="AA238">
        <v>0.36199999999999999</v>
      </c>
      <c r="AB238">
        <v>0.33200000000000002</v>
      </c>
      <c r="AC238">
        <v>0.69399999999999995</v>
      </c>
      <c r="AD238">
        <v>29</v>
      </c>
      <c r="AE238">
        <v>0.34799999999999998</v>
      </c>
      <c r="AF238">
        <v>0</v>
      </c>
      <c r="AG238">
        <f>(표1[[#This Row],[TB]]-표1[[#This Row],[H]])/표1[[#This Row],[AB]]</f>
        <v>8.8607594936708861E-2</v>
      </c>
      <c r="AH238">
        <f>(표1[[#This Row],[TB]]-표1[[#This Row],[H]]+표1[[#This Row],[BB]]+표1[[#This Row],[SB]]-표1[[#This Row],[CS]])/표1[[#This Row],[AB]]</f>
        <v>0.17215189873417722</v>
      </c>
      <c r="AI238">
        <f>(표1[[#This Row],[TB]]+표1[[#This Row],[BB]]+표1[[#This Row],[HBP]]+표1[[#This Row],[SB]]-표1[[#This Row],[CS]])/(표1[[#This Row],[AB]]-표1[[#This Row],[H]]+표1[[#This Row],[CS]]+표1[[#This Row],[GDP]])</f>
        <v>0.60869565217391308</v>
      </c>
      <c r="AJ23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48.409002217294898</v>
      </c>
      <c r="AK238">
        <f>표1[[#This Row],[RC]]/((표1[[#This Row],[AB]]-표1[[#This Row],[H]]+표1[[#This Row],[SAC]]+표1[[#This Row],[SF]]+표1[[#This Row],[CS]]+표1[[#This Row],[GDP]])/27)</f>
        <v>4.0845095620842571</v>
      </c>
      <c r="AL23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0.30911368909512765</v>
      </c>
      <c r="AM23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47.302</v>
      </c>
    </row>
    <row r="239" spans="1:39" x14ac:dyDescent="0.3">
      <c r="A239" t="str">
        <f>_xlfn.CONCAT(표1[[#This Row],[Year]],표1[[#This Row],[Player]])</f>
        <v>2007강민호</v>
      </c>
      <c r="B239">
        <v>2007</v>
      </c>
      <c r="C239">
        <v>29</v>
      </c>
      <c r="D239" t="s">
        <v>83</v>
      </c>
      <c r="E239" t="s">
        <v>17</v>
      </c>
      <c r="F239">
        <v>0.27100000000000002</v>
      </c>
      <c r="G239">
        <v>125</v>
      </c>
      <c r="H239">
        <v>474</v>
      </c>
      <c r="I239">
        <v>413</v>
      </c>
      <c r="J239">
        <v>48</v>
      </c>
      <c r="K239">
        <v>112</v>
      </c>
      <c r="L239">
        <f>표1[[#This Row],[H]]-표1[[#This Row],[2B]]-표1[[#This Row],[3B]]-표1[[#This Row],[HR]]</f>
        <v>78</v>
      </c>
      <c r="M239">
        <v>20</v>
      </c>
      <c r="N239">
        <v>0</v>
      </c>
      <c r="O239">
        <v>14</v>
      </c>
      <c r="P239">
        <v>174</v>
      </c>
      <c r="Q239">
        <v>68</v>
      </c>
      <c r="R239">
        <v>17</v>
      </c>
      <c r="S239">
        <v>3</v>
      </c>
      <c r="T239">
        <v>37</v>
      </c>
      <c r="U239">
        <v>1</v>
      </c>
      <c r="V239">
        <v>1</v>
      </c>
      <c r="W239">
        <v>4</v>
      </c>
      <c r="X239">
        <v>4</v>
      </c>
      <c r="Y239">
        <v>88</v>
      </c>
      <c r="Z239">
        <v>10</v>
      </c>
      <c r="AA239">
        <v>0.42099999999999999</v>
      </c>
      <c r="AB239">
        <v>0.33500000000000002</v>
      </c>
      <c r="AC239">
        <v>0.75600000000000001</v>
      </c>
      <c r="AD239">
        <v>25</v>
      </c>
      <c r="AE239">
        <v>0.34300000000000003</v>
      </c>
      <c r="AF239">
        <v>1</v>
      </c>
      <c r="AG239">
        <f>(표1[[#This Row],[TB]]-표1[[#This Row],[H]])/표1[[#This Row],[AB]]</f>
        <v>0.15012106537530268</v>
      </c>
      <c r="AH239">
        <f>(표1[[#This Row],[TB]]-표1[[#This Row],[H]]+표1[[#This Row],[BB]]+표1[[#This Row],[SB]]-표1[[#This Row],[CS]])/표1[[#This Row],[AB]]</f>
        <v>0.23244552058111381</v>
      </c>
      <c r="AI239">
        <f>(표1[[#This Row],[TB]]+표1[[#This Row],[BB]]+표1[[#This Row],[HBP]]+표1[[#This Row],[SB]]-표1[[#This Row],[CS]])/(표1[[#This Row],[AB]]-표1[[#This Row],[H]]+표1[[#This Row],[CS]]+표1[[#This Row],[GDP]])</f>
        <v>0.67301587301587307</v>
      </c>
      <c r="AJ23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57.277383966244727</v>
      </c>
      <c r="AK239">
        <f>표1[[#This Row],[RC]]/((표1[[#This Row],[AB]]-표1[[#This Row],[H]]+표1[[#This Row],[SAC]]+표1[[#This Row],[SF]]+표1[[#This Row],[CS]]+표1[[#This Row],[GDP]])/27)</f>
        <v>4.6163861704137545</v>
      </c>
      <c r="AL23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0.33041228070175438</v>
      </c>
      <c r="AM23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56.605999999999995</v>
      </c>
    </row>
    <row r="240" spans="1:39" x14ac:dyDescent="0.3">
      <c r="A240" t="str">
        <f>_xlfn.CONCAT(표1[[#This Row],[Year]],표1[[#This Row],[Player]])</f>
        <v>2007고영민</v>
      </c>
      <c r="B240">
        <v>2007</v>
      </c>
      <c r="C240">
        <v>30</v>
      </c>
      <c r="D240" t="s">
        <v>91</v>
      </c>
      <c r="E240" t="s">
        <v>1</v>
      </c>
      <c r="F240">
        <v>0.26800000000000002</v>
      </c>
      <c r="G240">
        <v>126</v>
      </c>
      <c r="H240">
        <v>536</v>
      </c>
      <c r="I240">
        <v>444</v>
      </c>
      <c r="J240">
        <v>89</v>
      </c>
      <c r="K240">
        <v>119</v>
      </c>
      <c r="L240">
        <f>표1[[#This Row],[H]]-표1[[#This Row],[2B]]-표1[[#This Row],[3B]]-표1[[#This Row],[HR]]</f>
        <v>77</v>
      </c>
      <c r="M240">
        <v>29</v>
      </c>
      <c r="N240">
        <v>1</v>
      </c>
      <c r="O240">
        <v>12</v>
      </c>
      <c r="P240">
        <v>186</v>
      </c>
      <c r="Q240">
        <v>66</v>
      </c>
      <c r="R240">
        <v>8</v>
      </c>
      <c r="S240">
        <v>6</v>
      </c>
      <c r="T240">
        <v>61</v>
      </c>
      <c r="U240">
        <v>1</v>
      </c>
      <c r="V240">
        <v>36</v>
      </c>
      <c r="W240">
        <v>10</v>
      </c>
      <c r="X240">
        <v>17</v>
      </c>
      <c r="Y240">
        <v>105</v>
      </c>
      <c r="Z240">
        <v>9</v>
      </c>
      <c r="AA240">
        <v>0.41899999999999998</v>
      </c>
      <c r="AB240">
        <v>0.373</v>
      </c>
      <c r="AC240">
        <v>0.79200000000000004</v>
      </c>
      <c r="AD240">
        <v>35</v>
      </c>
      <c r="AE240">
        <v>0.28699999999999998</v>
      </c>
      <c r="AF240">
        <v>0</v>
      </c>
      <c r="AG240">
        <f>(표1[[#This Row],[TB]]-표1[[#This Row],[H]])/표1[[#This Row],[AB]]</f>
        <v>0.15090090090090091</v>
      </c>
      <c r="AH240">
        <f>(표1[[#This Row],[TB]]-표1[[#This Row],[H]]+표1[[#This Row],[BB]]+표1[[#This Row],[SB]]-표1[[#This Row],[CS]])/표1[[#This Row],[AB]]</f>
        <v>0.34684684684684686</v>
      </c>
      <c r="AI240">
        <f>(표1[[#This Row],[TB]]+표1[[#This Row],[BB]]+표1[[#This Row],[HBP]]+표1[[#This Row],[SB]]-표1[[#This Row],[CS]])/(표1[[#This Row],[AB]]-표1[[#This Row],[H]]+표1[[#This Row],[CS]]+표1[[#This Row],[GDP]])</f>
        <v>0.84302325581395354</v>
      </c>
      <c r="AJ24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77.051417910447768</v>
      </c>
      <c r="AK240">
        <f>표1[[#This Row],[RC]]/((표1[[#This Row],[AB]]-표1[[#This Row],[H]]+표1[[#This Row],[SAC]]+표1[[#This Row],[SF]]+표1[[#This Row],[CS]]+표1[[#This Row],[GDP]])/27)</f>
        <v>5.8111404569332112</v>
      </c>
      <c r="AL24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0.3501783681214421</v>
      </c>
      <c r="AM24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76.529999999999987</v>
      </c>
    </row>
    <row r="241" spans="1:39" x14ac:dyDescent="0.3">
      <c r="A241" t="str">
        <f>_xlfn.CONCAT(표1[[#This Row],[Year]],표1[[#This Row],[Player]])</f>
        <v>2007박한이</v>
      </c>
      <c r="B241">
        <v>2007</v>
      </c>
      <c r="C241">
        <v>31</v>
      </c>
      <c r="D241" t="s">
        <v>9</v>
      </c>
      <c r="E241" t="s">
        <v>6</v>
      </c>
      <c r="F241">
        <v>0.26700000000000002</v>
      </c>
      <c r="G241">
        <v>123</v>
      </c>
      <c r="H241">
        <v>559</v>
      </c>
      <c r="I241">
        <v>479</v>
      </c>
      <c r="J241">
        <v>68</v>
      </c>
      <c r="K241">
        <v>128</v>
      </c>
      <c r="L241">
        <f>표1[[#This Row],[H]]-표1[[#This Row],[2B]]-표1[[#This Row],[3B]]-표1[[#This Row],[HR]]</f>
        <v>113</v>
      </c>
      <c r="M241">
        <v>12</v>
      </c>
      <c r="N241">
        <v>1</v>
      </c>
      <c r="O241">
        <v>2</v>
      </c>
      <c r="P241">
        <v>148</v>
      </c>
      <c r="Q241">
        <v>27</v>
      </c>
      <c r="R241">
        <v>4</v>
      </c>
      <c r="S241">
        <v>5</v>
      </c>
      <c r="T241">
        <v>67</v>
      </c>
      <c r="U241">
        <v>5</v>
      </c>
      <c r="V241">
        <v>10</v>
      </c>
      <c r="W241">
        <v>3</v>
      </c>
      <c r="X241">
        <v>4</v>
      </c>
      <c r="Y241">
        <v>47</v>
      </c>
      <c r="Z241">
        <v>7</v>
      </c>
      <c r="AA241">
        <v>0.309</v>
      </c>
      <c r="AB241">
        <v>0.35899999999999999</v>
      </c>
      <c r="AC241">
        <v>0.66800000000000004</v>
      </c>
      <c r="AD241">
        <v>37</v>
      </c>
      <c r="AE241">
        <v>0.20200000000000001</v>
      </c>
      <c r="AF241">
        <v>0</v>
      </c>
      <c r="AG241">
        <f>(표1[[#This Row],[TB]]-표1[[#This Row],[H]])/표1[[#This Row],[AB]]</f>
        <v>4.1753653444676408E-2</v>
      </c>
      <c r="AH241">
        <f>(표1[[#This Row],[TB]]-표1[[#This Row],[H]]+표1[[#This Row],[BB]]+표1[[#This Row],[SB]]-표1[[#This Row],[CS]])/표1[[#This Row],[AB]]</f>
        <v>0.19624217118997914</v>
      </c>
      <c r="AI241">
        <f>(표1[[#This Row],[TB]]+표1[[#This Row],[BB]]+표1[[#This Row],[HBP]]+표1[[#This Row],[SB]]-표1[[#This Row],[CS]])/(표1[[#This Row],[AB]]-표1[[#This Row],[H]]+표1[[#This Row],[CS]]+표1[[#This Row],[GDP]])</f>
        <v>0.62603878116343492</v>
      </c>
      <c r="AJ24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59.181681574239711</v>
      </c>
      <c r="AK241">
        <f>표1[[#This Row],[RC]]/((표1[[#This Row],[AB]]-표1[[#This Row],[H]]+표1[[#This Row],[SAC]]+표1[[#This Row],[SF]]+표1[[#This Row],[CS]]+표1[[#This Row],[GDP]])/27)</f>
        <v>4.3186632500120865</v>
      </c>
      <c r="AL24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0.30257272727272722</v>
      </c>
      <c r="AM24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61.044000000000004</v>
      </c>
    </row>
    <row r="242" spans="1:39" x14ac:dyDescent="0.3">
      <c r="A242" t="str">
        <f>_xlfn.CONCAT(표1[[#This Row],[Year]],표1[[#This Row],[Player]])</f>
        <v>2007최정</v>
      </c>
      <c r="B242">
        <v>2007</v>
      </c>
      <c r="C242">
        <v>32</v>
      </c>
      <c r="D242" t="s">
        <v>92</v>
      </c>
      <c r="E242" t="s">
        <v>8</v>
      </c>
      <c r="F242">
        <v>0.26700000000000002</v>
      </c>
      <c r="G242">
        <v>122</v>
      </c>
      <c r="H242">
        <v>462</v>
      </c>
      <c r="I242">
        <v>408</v>
      </c>
      <c r="J242">
        <v>49</v>
      </c>
      <c r="K242">
        <v>109</v>
      </c>
      <c r="L242">
        <f>표1[[#This Row],[H]]-표1[[#This Row],[2B]]-표1[[#This Row],[3B]]-표1[[#This Row],[HR]]</f>
        <v>73</v>
      </c>
      <c r="M242">
        <v>19</v>
      </c>
      <c r="N242">
        <v>1</v>
      </c>
      <c r="O242">
        <v>16</v>
      </c>
      <c r="P242">
        <v>178</v>
      </c>
      <c r="Q242">
        <v>66</v>
      </c>
      <c r="R242">
        <v>9</v>
      </c>
      <c r="S242">
        <v>1</v>
      </c>
      <c r="T242">
        <v>33</v>
      </c>
      <c r="U242">
        <v>1</v>
      </c>
      <c r="V242">
        <v>8</v>
      </c>
      <c r="W242">
        <v>7</v>
      </c>
      <c r="X242">
        <v>11</v>
      </c>
      <c r="Y242">
        <v>84</v>
      </c>
      <c r="Z242">
        <v>3</v>
      </c>
      <c r="AA242">
        <v>0.436</v>
      </c>
      <c r="AB242">
        <v>0.33800000000000002</v>
      </c>
      <c r="AC242">
        <v>0.77400000000000002</v>
      </c>
      <c r="AD242">
        <v>23</v>
      </c>
      <c r="AE242">
        <v>0.35899999999999999</v>
      </c>
      <c r="AF242">
        <v>0</v>
      </c>
      <c r="AG242">
        <f>(표1[[#This Row],[TB]]-표1[[#This Row],[H]])/표1[[#This Row],[AB]]</f>
        <v>0.16911764705882354</v>
      </c>
      <c r="AH242">
        <f>(표1[[#This Row],[TB]]-표1[[#This Row],[H]]+표1[[#This Row],[BB]]+표1[[#This Row],[SB]]-표1[[#This Row],[CS]])/표1[[#This Row],[AB]]</f>
        <v>0.25245098039215685</v>
      </c>
      <c r="AI242">
        <f>(표1[[#This Row],[TB]]+표1[[#This Row],[BB]]+표1[[#This Row],[HBP]]+표1[[#This Row],[SB]]-표1[[#This Row],[CS]])/(표1[[#This Row],[AB]]-표1[[#This Row],[H]]+표1[[#This Row],[CS]]+표1[[#This Row],[GDP]])</f>
        <v>0.72168284789644011</v>
      </c>
      <c r="AJ24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61.452857142857148</v>
      </c>
      <c r="AK242">
        <f>표1[[#This Row],[RC]]/((표1[[#This Row],[AB]]-표1[[#This Row],[H]]+표1[[#This Row],[SAC]]+표1[[#This Row],[SF]]+표1[[#This Row],[CS]]+표1[[#This Row],[GDP]])/27)</f>
        <v>5.2013390058217652</v>
      </c>
      <c r="AL24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0.33847345132743367</v>
      </c>
      <c r="AM24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60.368000000000002</v>
      </c>
    </row>
    <row r="243" spans="1:39" x14ac:dyDescent="0.3">
      <c r="A243" t="str">
        <f>_xlfn.CONCAT(표1[[#This Row],[Year]],표1[[#This Row],[Player]])</f>
        <v>2007이원석</v>
      </c>
      <c r="B243">
        <v>2007</v>
      </c>
      <c r="C243">
        <v>33</v>
      </c>
      <c r="D243" t="s">
        <v>93</v>
      </c>
      <c r="E243" t="s">
        <v>17</v>
      </c>
      <c r="F243">
        <v>0.26200000000000001</v>
      </c>
      <c r="G243">
        <v>121</v>
      </c>
      <c r="H243">
        <v>407</v>
      </c>
      <c r="I243">
        <v>363</v>
      </c>
      <c r="J243">
        <v>43</v>
      </c>
      <c r="K243">
        <v>95</v>
      </c>
      <c r="L243">
        <f>표1[[#This Row],[H]]-표1[[#This Row],[2B]]-표1[[#This Row],[3B]]-표1[[#This Row],[HR]]</f>
        <v>83</v>
      </c>
      <c r="M243">
        <v>10</v>
      </c>
      <c r="N243">
        <v>1</v>
      </c>
      <c r="O243">
        <v>1</v>
      </c>
      <c r="P243">
        <v>110</v>
      </c>
      <c r="Q243">
        <v>29</v>
      </c>
      <c r="R243">
        <v>16</v>
      </c>
      <c r="S243">
        <v>1</v>
      </c>
      <c r="T243">
        <v>24</v>
      </c>
      <c r="U243">
        <v>0</v>
      </c>
      <c r="V243">
        <v>2</v>
      </c>
      <c r="W243">
        <v>5</v>
      </c>
      <c r="X243">
        <v>3</v>
      </c>
      <c r="Y243">
        <v>57</v>
      </c>
      <c r="Z243">
        <v>7</v>
      </c>
      <c r="AA243">
        <v>0.30299999999999999</v>
      </c>
      <c r="AB243">
        <v>0.312</v>
      </c>
      <c r="AC243">
        <v>0.61499999999999999</v>
      </c>
      <c r="AD243">
        <v>25</v>
      </c>
      <c r="AE243">
        <v>0.27500000000000002</v>
      </c>
      <c r="AF243">
        <v>0</v>
      </c>
      <c r="AG243">
        <f>(표1[[#This Row],[TB]]-표1[[#This Row],[H]])/표1[[#This Row],[AB]]</f>
        <v>4.1322314049586778E-2</v>
      </c>
      <c r="AH243">
        <f>(표1[[#This Row],[TB]]-표1[[#This Row],[H]]+표1[[#This Row],[BB]]+표1[[#This Row],[SB]]-표1[[#This Row],[CS]])/표1[[#This Row],[AB]]</f>
        <v>9.9173553719008267E-2</v>
      </c>
      <c r="AI243">
        <f>(표1[[#This Row],[TB]]+표1[[#This Row],[BB]]+표1[[#This Row],[HBP]]+표1[[#This Row],[SB]]-표1[[#This Row],[CS]])/(표1[[#This Row],[AB]]-표1[[#This Row],[H]]+표1[[#This Row],[CS]]+표1[[#This Row],[GDP]])</f>
        <v>0.47857142857142859</v>
      </c>
      <c r="AJ24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34.297297297297291</v>
      </c>
      <c r="AK243">
        <f>표1[[#This Row],[RC]]/((표1[[#This Row],[AB]]-표1[[#This Row],[H]]+표1[[#This Row],[SAC]]+표1[[#This Row],[SF]]+표1[[#This Row],[CS]]+표1[[#This Row],[GDP]])/27)</f>
        <v>3.1179361179361176</v>
      </c>
      <c r="AL24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0.27709207161125315</v>
      </c>
      <c r="AM24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32.963999999999999</v>
      </c>
    </row>
    <row r="244" spans="1:39" x14ac:dyDescent="0.3">
      <c r="A244" t="str">
        <f>_xlfn.CONCAT(표1[[#This Row],[Year]],표1[[#This Row],[Player]])</f>
        <v>2007김주찬</v>
      </c>
      <c r="B244">
        <v>2007</v>
      </c>
      <c r="C244">
        <v>34</v>
      </c>
      <c r="D244" t="s">
        <v>65</v>
      </c>
      <c r="E244" t="s">
        <v>17</v>
      </c>
      <c r="F244">
        <v>0.26100000000000001</v>
      </c>
      <c r="G244">
        <v>113</v>
      </c>
      <c r="H244">
        <v>416</v>
      </c>
      <c r="I244">
        <v>387</v>
      </c>
      <c r="J244">
        <v>49</v>
      </c>
      <c r="K244">
        <v>101</v>
      </c>
      <c r="L244">
        <f>표1[[#This Row],[H]]-표1[[#This Row],[2B]]-표1[[#This Row],[3B]]-표1[[#This Row],[HR]]</f>
        <v>78</v>
      </c>
      <c r="M244">
        <v>17</v>
      </c>
      <c r="N244">
        <v>1</v>
      </c>
      <c r="O244">
        <v>5</v>
      </c>
      <c r="P244">
        <v>135</v>
      </c>
      <c r="Q244">
        <v>30</v>
      </c>
      <c r="R244">
        <v>7</v>
      </c>
      <c r="S244">
        <v>1</v>
      </c>
      <c r="T244">
        <v>13</v>
      </c>
      <c r="U244">
        <v>3</v>
      </c>
      <c r="V244">
        <v>22</v>
      </c>
      <c r="W244">
        <v>8</v>
      </c>
      <c r="X244">
        <v>8</v>
      </c>
      <c r="Y244">
        <v>69</v>
      </c>
      <c r="Z244">
        <v>4</v>
      </c>
      <c r="AA244">
        <v>0.34899999999999998</v>
      </c>
      <c r="AB244">
        <v>0.29799999999999999</v>
      </c>
      <c r="AC244">
        <v>0.64700000000000002</v>
      </c>
      <c r="AD244">
        <v>29</v>
      </c>
      <c r="AE244">
        <v>0.25700000000000001</v>
      </c>
      <c r="AF244">
        <v>0.28599999999999998</v>
      </c>
      <c r="AG244">
        <f>(표1[[#This Row],[TB]]-표1[[#This Row],[H]])/표1[[#This Row],[AB]]</f>
        <v>8.7855297157622733E-2</v>
      </c>
      <c r="AH244">
        <f>(표1[[#This Row],[TB]]-표1[[#This Row],[H]]+표1[[#This Row],[BB]]+표1[[#This Row],[SB]]-표1[[#This Row],[CS]])/표1[[#This Row],[AB]]</f>
        <v>0.15762273901808785</v>
      </c>
      <c r="AI244">
        <f>(표1[[#This Row],[TB]]+표1[[#This Row],[BB]]+표1[[#This Row],[HBP]]+표1[[#This Row],[SB]]-표1[[#This Row],[CS]])/(표1[[#This Row],[AB]]-표1[[#This Row],[H]]+표1[[#This Row],[CS]]+표1[[#This Row],[GDP]])</f>
        <v>0.57046979865771807</v>
      </c>
      <c r="AJ24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41.059615384615384</v>
      </c>
      <c r="AK244">
        <f>표1[[#This Row],[RC]]/((표1[[#This Row],[AB]]-표1[[#This Row],[H]]+표1[[#This Row],[SAC]]+표1[[#This Row],[SF]]+표1[[#This Row],[CS]]+표1[[#This Row],[GDP]])/27)</f>
        <v>3.6229072398190043</v>
      </c>
      <c r="AL24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0.2829802955665025</v>
      </c>
      <c r="AM24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40.628000000000007</v>
      </c>
    </row>
    <row r="245" spans="1:39" x14ac:dyDescent="0.3">
      <c r="A245" t="str">
        <f>_xlfn.CONCAT(표1[[#This Row],[Year]],표1[[#This Row],[Player]])</f>
        <v>2007심정수</v>
      </c>
      <c r="B245">
        <v>2007</v>
      </c>
      <c r="C245">
        <v>35</v>
      </c>
      <c r="D245" t="s">
        <v>2</v>
      </c>
      <c r="E245" t="s">
        <v>6</v>
      </c>
      <c r="F245">
        <v>0.25800000000000001</v>
      </c>
      <c r="G245">
        <v>124</v>
      </c>
      <c r="H245">
        <v>515</v>
      </c>
      <c r="I245">
        <v>427</v>
      </c>
      <c r="J245">
        <v>64</v>
      </c>
      <c r="K245">
        <v>110</v>
      </c>
      <c r="L245">
        <f>표1[[#This Row],[H]]-표1[[#This Row],[2B]]-표1[[#This Row],[3B]]-표1[[#This Row],[HR]]</f>
        <v>62</v>
      </c>
      <c r="M245">
        <v>17</v>
      </c>
      <c r="N245">
        <v>0</v>
      </c>
      <c r="O245">
        <v>31</v>
      </c>
      <c r="P245">
        <v>220</v>
      </c>
      <c r="Q245">
        <v>101</v>
      </c>
      <c r="R245">
        <v>0</v>
      </c>
      <c r="S245">
        <v>2</v>
      </c>
      <c r="T245">
        <v>83</v>
      </c>
      <c r="U245">
        <v>1</v>
      </c>
      <c r="V245">
        <v>6</v>
      </c>
      <c r="W245">
        <v>0</v>
      </c>
      <c r="X245">
        <v>3</v>
      </c>
      <c r="Y245">
        <v>113</v>
      </c>
      <c r="Z245">
        <v>10</v>
      </c>
      <c r="AA245">
        <v>0.51500000000000001</v>
      </c>
      <c r="AB245">
        <v>0.38100000000000001</v>
      </c>
      <c r="AC245">
        <v>0.89600000000000002</v>
      </c>
      <c r="AD245">
        <v>32</v>
      </c>
      <c r="AE245">
        <v>0.30299999999999999</v>
      </c>
      <c r="AF245">
        <v>0</v>
      </c>
      <c r="AG245">
        <f>(표1[[#This Row],[TB]]-표1[[#This Row],[H]])/표1[[#This Row],[AB]]</f>
        <v>0.2576112412177986</v>
      </c>
      <c r="AH245">
        <f>(표1[[#This Row],[TB]]-표1[[#This Row],[H]]+표1[[#This Row],[BB]]+표1[[#This Row],[SB]]-표1[[#This Row],[CS]])/표1[[#This Row],[AB]]</f>
        <v>0.46604215456674475</v>
      </c>
      <c r="AI245">
        <f>(표1[[#This Row],[TB]]+표1[[#This Row],[BB]]+표1[[#This Row],[HBP]]+표1[[#This Row],[SB]]-표1[[#This Row],[CS]])/(표1[[#This Row],[AB]]-표1[[#This Row],[H]]+표1[[#This Row],[CS]]+표1[[#This Row],[GDP]])</f>
        <v>0.95412844036697253</v>
      </c>
      <c r="AJ24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88.940504854368939</v>
      </c>
      <c r="AK245">
        <f>표1[[#This Row],[RC]]/((표1[[#This Row],[AB]]-표1[[#This Row],[H]]+표1[[#This Row],[SAC]]+표1[[#This Row],[SF]]+표1[[#This Row],[CS]]+표1[[#This Row],[GDP]])/27)</f>
        <v>7.2990687874406124</v>
      </c>
      <c r="AL24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0.38677626459143966</v>
      </c>
      <c r="AM24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85.715999999999994</v>
      </c>
    </row>
    <row r="246" spans="1:39" x14ac:dyDescent="0.3">
      <c r="A246" t="str">
        <f>_xlfn.CONCAT(표1[[#This Row],[Year]],표1[[#This Row],[Player]])</f>
        <v>2007신명철</v>
      </c>
      <c r="B246">
        <v>2007</v>
      </c>
      <c r="C246">
        <v>36</v>
      </c>
      <c r="D246" t="s">
        <v>75</v>
      </c>
      <c r="E246" t="s">
        <v>6</v>
      </c>
      <c r="F246">
        <v>0.252</v>
      </c>
      <c r="G246">
        <v>126</v>
      </c>
      <c r="H246">
        <v>471</v>
      </c>
      <c r="I246">
        <v>416</v>
      </c>
      <c r="J246">
        <v>43</v>
      </c>
      <c r="K246">
        <v>105</v>
      </c>
      <c r="L246">
        <f>표1[[#This Row],[H]]-표1[[#This Row],[2B]]-표1[[#This Row],[3B]]-표1[[#This Row],[HR]]</f>
        <v>78</v>
      </c>
      <c r="M246">
        <v>20</v>
      </c>
      <c r="N246">
        <v>2</v>
      </c>
      <c r="O246">
        <v>5</v>
      </c>
      <c r="P246">
        <v>144</v>
      </c>
      <c r="Q246">
        <v>31</v>
      </c>
      <c r="R246">
        <v>23</v>
      </c>
      <c r="S246">
        <v>2</v>
      </c>
      <c r="T246">
        <v>27</v>
      </c>
      <c r="U246">
        <v>0</v>
      </c>
      <c r="V246">
        <v>19</v>
      </c>
      <c r="W246">
        <v>9</v>
      </c>
      <c r="X246">
        <v>3</v>
      </c>
      <c r="Y246">
        <v>68</v>
      </c>
      <c r="Z246">
        <v>11</v>
      </c>
      <c r="AA246">
        <v>0.34599999999999997</v>
      </c>
      <c r="AB246">
        <v>0.30099999999999999</v>
      </c>
      <c r="AC246">
        <v>0.64700000000000002</v>
      </c>
      <c r="AD246">
        <v>30</v>
      </c>
      <c r="AE246">
        <v>0.21199999999999999</v>
      </c>
      <c r="AF246">
        <v>0</v>
      </c>
      <c r="AG246">
        <f>(표1[[#This Row],[TB]]-표1[[#This Row],[H]])/표1[[#This Row],[AB]]</f>
        <v>9.375E-2</v>
      </c>
      <c r="AH246">
        <f>(표1[[#This Row],[TB]]-표1[[#This Row],[H]]+표1[[#This Row],[BB]]+표1[[#This Row],[SB]]-표1[[#This Row],[CS]])/표1[[#This Row],[AB]]</f>
        <v>0.18269230769230768</v>
      </c>
      <c r="AI246">
        <f>(표1[[#This Row],[TB]]+표1[[#This Row],[BB]]+표1[[#This Row],[HBP]]+표1[[#This Row],[SB]]-표1[[#This Row],[CS]])/(표1[[#This Row],[AB]]-표1[[#This Row],[H]]+표1[[#This Row],[CS]]+표1[[#This Row],[GDP]])</f>
        <v>0.5558912386706949</v>
      </c>
      <c r="AJ24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42.650106157112525</v>
      </c>
      <c r="AK246">
        <f>표1[[#This Row],[RC]]/((표1[[#This Row],[AB]]-표1[[#This Row],[H]]+표1[[#This Row],[SAC]]+표1[[#This Row],[SF]]+표1[[#This Row],[CS]]+표1[[#This Row],[GDP]])/27)</f>
        <v>3.2346990624776355</v>
      </c>
      <c r="AL24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0.28658705357142855</v>
      </c>
      <c r="AM24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42.475999999999992</v>
      </c>
    </row>
    <row r="247" spans="1:39" x14ac:dyDescent="0.3">
      <c r="A247" t="str">
        <f>_xlfn.CONCAT(표1[[#This Row],[Year]],표1[[#This Row],[Player]])</f>
        <v>2007고동진</v>
      </c>
      <c r="B247">
        <v>2007</v>
      </c>
      <c r="C247">
        <v>37</v>
      </c>
      <c r="D247" t="s">
        <v>84</v>
      </c>
      <c r="E247" t="s">
        <v>11</v>
      </c>
      <c r="F247">
        <v>0.249</v>
      </c>
      <c r="G247">
        <v>124</v>
      </c>
      <c r="H247">
        <v>473</v>
      </c>
      <c r="I247">
        <v>394</v>
      </c>
      <c r="J247">
        <v>68</v>
      </c>
      <c r="K247">
        <v>98</v>
      </c>
      <c r="L247">
        <f>표1[[#This Row],[H]]-표1[[#This Row],[2B]]-표1[[#This Row],[3B]]-표1[[#This Row],[HR]]</f>
        <v>84</v>
      </c>
      <c r="M247">
        <v>8</v>
      </c>
      <c r="N247">
        <v>5</v>
      </c>
      <c r="O247">
        <v>1</v>
      </c>
      <c r="P247">
        <v>119</v>
      </c>
      <c r="Q247">
        <v>37</v>
      </c>
      <c r="R247">
        <v>11</v>
      </c>
      <c r="S247">
        <v>2</v>
      </c>
      <c r="T247">
        <v>50</v>
      </c>
      <c r="U247">
        <v>2</v>
      </c>
      <c r="V247">
        <v>10</v>
      </c>
      <c r="W247">
        <v>4</v>
      </c>
      <c r="X247">
        <v>16</v>
      </c>
      <c r="Y247">
        <v>67</v>
      </c>
      <c r="Z247">
        <v>6</v>
      </c>
      <c r="AA247">
        <v>0.30199999999999999</v>
      </c>
      <c r="AB247">
        <v>0.35499999999999998</v>
      </c>
      <c r="AC247">
        <v>0.65700000000000003</v>
      </c>
      <c r="AD247">
        <v>23</v>
      </c>
      <c r="AE247">
        <v>0.38700000000000001</v>
      </c>
      <c r="AF247">
        <v>0.25</v>
      </c>
      <c r="AG247">
        <f>(표1[[#This Row],[TB]]-표1[[#This Row],[H]])/표1[[#This Row],[AB]]</f>
        <v>5.3299492385786802E-2</v>
      </c>
      <c r="AH247">
        <f>(표1[[#This Row],[TB]]-표1[[#This Row],[H]]+표1[[#This Row],[BB]]+표1[[#This Row],[SB]]-표1[[#This Row],[CS]])/표1[[#This Row],[AB]]</f>
        <v>0.19543147208121828</v>
      </c>
      <c r="AI247">
        <f>(표1[[#This Row],[TB]]+표1[[#This Row],[BB]]+표1[[#This Row],[HBP]]+표1[[#This Row],[SB]]-표1[[#This Row],[CS]])/(표1[[#This Row],[AB]]-표1[[#This Row],[H]]+표1[[#This Row],[CS]]+표1[[#This Row],[GDP]])</f>
        <v>0.62418300653594772</v>
      </c>
      <c r="AJ24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48.055813953488368</v>
      </c>
      <c r="AK247">
        <f>표1[[#This Row],[RC]]/((표1[[#This Row],[AB]]-표1[[#This Row],[H]]+표1[[#This Row],[SAC]]+표1[[#This Row],[SF]]+표1[[#This Row],[CS]]+표1[[#This Row],[GDP]])/27)</f>
        <v>4.0674199897936862</v>
      </c>
      <c r="AL24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0.30229347826086955</v>
      </c>
      <c r="AM24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48.963999999999992</v>
      </c>
    </row>
    <row r="248" spans="1:39" x14ac:dyDescent="0.3">
      <c r="A248" t="str">
        <f>_xlfn.CONCAT(표1[[#This Row],[Year]],표1[[#This Row],[Player]])</f>
        <v>2007김일경</v>
      </c>
      <c r="B248">
        <v>2007</v>
      </c>
      <c r="C248">
        <v>38</v>
      </c>
      <c r="D248" t="s">
        <v>94</v>
      </c>
      <c r="E248" t="s">
        <v>3</v>
      </c>
      <c r="F248">
        <v>0.247</v>
      </c>
      <c r="G248">
        <v>117</v>
      </c>
      <c r="H248">
        <v>444</v>
      </c>
      <c r="I248">
        <v>376</v>
      </c>
      <c r="J248">
        <v>44</v>
      </c>
      <c r="K248">
        <v>93</v>
      </c>
      <c r="L248">
        <f>표1[[#This Row],[H]]-표1[[#This Row],[2B]]-표1[[#This Row],[3B]]-표1[[#This Row],[HR]]</f>
        <v>78</v>
      </c>
      <c r="M248">
        <v>11</v>
      </c>
      <c r="N248">
        <v>1</v>
      </c>
      <c r="O248">
        <v>3</v>
      </c>
      <c r="P248">
        <v>115</v>
      </c>
      <c r="Q248">
        <v>26</v>
      </c>
      <c r="R248">
        <v>36</v>
      </c>
      <c r="S248">
        <v>1</v>
      </c>
      <c r="T248">
        <v>25</v>
      </c>
      <c r="U248">
        <v>0</v>
      </c>
      <c r="V248">
        <v>9</v>
      </c>
      <c r="W248">
        <v>3</v>
      </c>
      <c r="X248">
        <v>6</v>
      </c>
      <c r="Y248">
        <v>56</v>
      </c>
      <c r="Z248">
        <v>11</v>
      </c>
      <c r="AA248">
        <v>0.30599999999999999</v>
      </c>
      <c r="AB248">
        <v>0.30399999999999999</v>
      </c>
      <c r="AC248">
        <v>0.61</v>
      </c>
      <c r="AD248">
        <v>23</v>
      </c>
      <c r="AE248">
        <v>0.26200000000000001</v>
      </c>
      <c r="AF248">
        <v>0</v>
      </c>
      <c r="AG248">
        <f>(표1[[#This Row],[TB]]-표1[[#This Row],[H]])/표1[[#This Row],[AB]]</f>
        <v>5.8510638297872342E-2</v>
      </c>
      <c r="AH248">
        <f>(표1[[#This Row],[TB]]-표1[[#This Row],[H]]+표1[[#This Row],[BB]]+표1[[#This Row],[SB]]-표1[[#This Row],[CS]])/표1[[#This Row],[AB]]</f>
        <v>0.14095744680851063</v>
      </c>
      <c r="AI248">
        <f>(표1[[#This Row],[TB]]+표1[[#This Row],[BB]]+표1[[#This Row],[HBP]]+표1[[#This Row],[SB]]-표1[[#This Row],[CS]])/(표1[[#This Row],[AB]]-표1[[#This Row],[H]]+표1[[#This Row],[CS]]+표1[[#This Row],[GDP]])</f>
        <v>0.51178451178451179</v>
      </c>
      <c r="AJ24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36.413963963963973</v>
      </c>
      <c r="AK248">
        <f>표1[[#This Row],[RC]]/((표1[[#This Row],[AB]]-표1[[#This Row],[H]]+표1[[#This Row],[SAC]]+표1[[#This Row],[SF]]+표1[[#This Row],[CS]]+표1[[#This Row],[GDP]])/27)</f>
        <v>2.9436437934940938</v>
      </c>
      <c r="AL24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0.27488480392156861</v>
      </c>
      <c r="AM24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35.301999999999992</v>
      </c>
    </row>
    <row r="249" spans="1:39" x14ac:dyDescent="0.3">
      <c r="A249" t="str">
        <f>_xlfn.CONCAT(표1[[#This Row],[Year]],표1[[#This Row],[Player]])</f>
        <v>2007박경완</v>
      </c>
      <c r="B249">
        <v>2007</v>
      </c>
      <c r="C249">
        <v>39</v>
      </c>
      <c r="D249" t="s">
        <v>46</v>
      </c>
      <c r="E249" t="s">
        <v>8</v>
      </c>
      <c r="F249">
        <v>0.247</v>
      </c>
      <c r="G249">
        <v>119</v>
      </c>
      <c r="H249">
        <v>437</v>
      </c>
      <c r="I249">
        <v>352</v>
      </c>
      <c r="J249">
        <v>60</v>
      </c>
      <c r="K249">
        <v>87</v>
      </c>
      <c r="L249">
        <f>표1[[#This Row],[H]]-표1[[#This Row],[2B]]-표1[[#This Row],[3B]]-표1[[#This Row],[HR]]</f>
        <v>50</v>
      </c>
      <c r="M249">
        <v>21</v>
      </c>
      <c r="N249">
        <v>1</v>
      </c>
      <c r="O249">
        <v>15</v>
      </c>
      <c r="P249">
        <v>155</v>
      </c>
      <c r="Q249">
        <v>60</v>
      </c>
      <c r="R249">
        <v>11</v>
      </c>
      <c r="S249">
        <v>9</v>
      </c>
      <c r="T249">
        <v>55</v>
      </c>
      <c r="U249">
        <v>4</v>
      </c>
      <c r="V249">
        <v>6</v>
      </c>
      <c r="W249">
        <v>3</v>
      </c>
      <c r="X249">
        <v>10</v>
      </c>
      <c r="Y249">
        <v>68</v>
      </c>
      <c r="Z249">
        <v>9</v>
      </c>
      <c r="AA249">
        <v>0.44</v>
      </c>
      <c r="AB249">
        <v>0.35699999999999998</v>
      </c>
      <c r="AC249">
        <v>0.79700000000000004</v>
      </c>
      <c r="AD249">
        <v>22</v>
      </c>
      <c r="AE249">
        <v>0.22800000000000001</v>
      </c>
      <c r="AF249">
        <v>0</v>
      </c>
      <c r="AG249">
        <f>(표1[[#This Row],[TB]]-표1[[#This Row],[H]])/표1[[#This Row],[AB]]</f>
        <v>0.19318181818181818</v>
      </c>
      <c r="AH249">
        <f>(표1[[#This Row],[TB]]-표1[[#This Row],[H]]+표1[[#This Row],[BB]]+표1[[#This Row],[SB]]-표1[[#This Row],[CS]])/표1[[#This Row],[AB]]</f>
        <v>0.35795454545454547</v>
      </c>
      <c r="AI249">
        <f>(표1[[#This Row],[TB]]+표1[[#This Row],[BB]]+표1[[#This Row],[HBP]]+표1[[#This Row],[SB]]-표1[[#This Row],[CS]])/(표1[[#This Row],[AB]]-표1[[#This Row],[H]]+표1[[#This Row],[CS]]+표1[[#This Row],[GDP]])</f>
        <v>0.80505415162454874</v>
      </c>
      <c r="AJ24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59.069107551487427</v>
      </c>
      <c r="AK249">
        <f>표1[[#This Row],[RC]]/((표1[[#This Row],[AB]]-표1[[#This Row],[H]]+표1[[#This Row],[SAC]]+표1[[#This Row],[SF]]+표1[[#This Row],[CS]]+표1[[#This Row],[GDP]])/27)</f>
        <v>5.3699188683170389</v>
      </c>
      <c r="AL24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0.34483649289099522</v>
      </c>
      <c r="AM24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60.665999999999983</v>
      </c>
    </row>
    <row r="250" spans="1:39" x14ac:dyDescent="0.3">
      <c r="A250" t="str">
        <f>_xlfn.CONCAT(표1[[#This Row],[Year]],표1[[#This Row],[Player]])</f>
        <v>2007이범호</v>
      </c>
      <c r="B250">
        <v>2007</v>
      </c>
      <c r="C250">
        <v>40</v>
      </c>
      <c r="D250" t="s">
        <v>53</v>
      </c>
      <c r="E250" t="s">
        <v>11</v>
      </c>
      <c r="F250">
        <v>0.246</v>
      </c>
      <c r="G250">
        <v>126</v>
      </c>
      <c r="H250">
        <v>505</v>
      </c>
      <c r="I250">
        <v>418</v>
      </c>
      <c r="J250">
        <v>57</v>
      </c>
      <c r="K250">
        <v>103</v>
      </c>
      <c r="L250">
        <f>표1[[#This Row],[H]]-표1[[#This Row],[2B]]-표1[[#This Row],[3B]]-표1[[#This Row],[HR]]</f>
        <v>68</v>
      </c>
      <c r="M250">
        <v>14</v>
      </c>
      <c r="N250">
        <v>0</v>
      </c>
      <c r="O250">
        <v>21</v>
      </c>
      <c r="P250">
        <v>180</v>
      </c>
      <c r="Q250">
        <v>63</v>
      </c>
      <c r="R250">
        <v>6</v>
      </c>
      <c r="S250">
        <v>4</v>
      </c>
      <c r="T250">
        <v>72</v>
      </c>
      <c r="U250">
        <v>1</v>
      </c>
      <c r="V250">
        <v>2</v>
      </c>
      <c r="W250">
        <v>0</v>
      </c>
      <c r="X250">
        <v>5</v>
      </c>
      <c r="Y250">
        <v>73</v>
      </c>
      <c r="Z250">
        <v>14</v>
      </c>
      <c r="AA250">
        <v>0.43099999999999999</v>
      </c>
      <c r="AB250">
        <v>0.36099999999999999</v>
      </c>
      <c r="AC250">
        <v>0.79200000000000004</v>
      </c>
      <c r="AD250">
        <v>31</v>
      </c>
      <c r="AE250">
        <v>0.29599999999999999</v>
      </c>
      <c r="AF250">
        <v>0</v>
      </c>
      <c r="AG250">
        <f>(표1[[#This Row],[TB]]-표1[[#This Row],[H]])/표1[[#This Row],[AB]]</f>
        <v>0.18421052631578946</v>
      </c>
      <c r="AH250">
        <f>(표1[[#This Row],[TB]]-표1[[#This Row],[H]]+표1[[#This Row],[BB]]+표1[[#This Row],[SB]]-표1[[#This Row],[CS]])/표1[[#This Row],[AB]]</f>
        <v>0.36124401913875598</v>
      </c>
      <c r="AI250">
        <f>(표1[[#This Row],[TB]]+표1[[#This Row],[BB]]+표1[[#This Row],[HBP]]+표1[[#This Row],[SB]]-표1[[#This Row],[CS]])/(표1[[#This Row],[AB]]-표1[[#This Row],[H]]+표1[[#This Row],[CS]]+표1[[#This Row],[GDP]])</f>
        <v>0.78723404255319152</v>
      </c>
      <c r="AJ25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67.714851485148515</v>
      </c>
      <c r="AK250">
        <f>표1[[#This Row],[RC]]/((표1[[#This Row],[AB]]-표1[[#This Row],[H]]+표1[[#This Row],[SAC]]+표1[[#This Row],[SF]]+표1[[#This Row],[CS]]+표1[[#This Row],[GDP]])/27)</f>
        <v>5.3932182598790854</v>
      </c>
      <c r="AL25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0.34859236947791156</v>
      </c>
      <c r="AM25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68.376000000000005</v>
      </c>
    </row>
    <row r="251" spans="1:39" x14ac:dyDescent="0.3">
      <c r="A251" t="str">
        <f>_xlfn.CONCAT(표1[[#This Row],[Year]],표1[[#This Row],[Player]])</f>
        <v>2007진갑용</v>
      </c>
      <c r="B251">
        <v>2007</v>
      </c>
      <c r="C251">
        <v>41</v>
      </c>
      <c r="D251" t="s">
        <v>26</v>
      </c>
      <c r="E251" t="s">
        <v>6</v>
      </c>
      <c r="F251">
        <v>0.246</v>
      </c>
      <c r="G251">
        <v>122</v>
      </c>
      <c r="H251">
        <v>427</v>
      </c>
      <c r="I251">
        <v>362</v>
      </c>
      <c r="J251">
        <v>28</v>
      </c>
      <c r="K251">
        <v>89</v>
      </c>
      <c r="L251">
        <f>표1[[#This Row],[H]]-표1[[#This Row],[2B]]-표1[[#This Row],[3B]]-표1[[#This Row],[HR]]</f>
        <v>72</v>
      </c>
      <c r="M251">
        <v>12</v>
      </c>
      <c r="N251">
        <v>0</v>
      </c>
      <c r="O251">
        <v>5</v>
      </c>
      <c r="P251">
        <v>116</v>
      </c>
      <c r="Q251">
        <v>39</v>
      </c>
      <c r="R251">
        <v>5</v>
      </c>
      <c r="S251">
        <v>4</v>
      </c>
      <c r="T251">
        <v>49</v>
      </c>
      <c r="U251">
        <v>2</v>
      </c>
      <c r="V251">
        <v>0</v>
      </c>
      <c r="W251">
        <v>1</v>
      </c>
      <c r="X251">
        <v>7</v>
      </c>
      <c r="Y251">
        <v>38</v>
      </c>
      <c r="Z251">
        <v>9</v>
      </c>
      <c r="AA251">
        <v>0.32</v>
      </c>
      <c r="AB251">
        <v>0.34399999999999997</v>
      </c>
      <c r="AC251">
        <v>0.66400000000000003</v>
      </c>
      <c r="AD251">
        <v>26</v>
      </c>
      <c r="AE251">
        <v>0.22700000000000001</v>
      </c>
      <c r="AF251">
        <v>0</v>
      </c>
      <c r="AG251">
        <f>(표1[[#This Row],[TB]]-표1[[#This Row],[H]])/표1[[#This Row],[AB]]</f>
        <v>7.4585635359116026E-2</v>
      </c>
      <c r="AH251">
        <f>(표1[[#This Row],[TB]]-표1[[#This Row],[H]]+표1[[#This Row],[BB]]+표1[[#This Row],[SB]]-표1[[#This Row],[CS]])/표1[[#This Row],[AB]]</f>
        <v>0.20718232044198895</v>
      </c>
      <c r="AI251">
        <f>(표1[[#This Row],[TB]]+표1[[#This Row],[BB]]+표1[[#This Row],[HBP]]+표1[[#This Row],[SB]]-표1[[#This Row],[CS]])/(표1[[#This Row],[AB]]-표1[[#This Row],[H]]+표1[[#This Row],[CS]]+표1[[#This Row],[GDP]])</f>
        <v>0.60424028268551233</v>
      </c>
      <c r="AJ25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42.592974238875883</v>
      </c>
      <c r="AK251">
        <f>표1[[#This Row],[RC]]/((표1[[#This Row],[AB]]-표1[[#This Row],[H]]+표1[[#This Row],[SAC]]+표1[[#This Row],[SF]]+표1[[#This Row],[CS]]+표1[[#This Row],[GDP]])/27)</f>
        <v>3.9383914535946878</v>
      </c>
      <c r="AL25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0.30131666666666668</v>
      </c>
      <c r="AM25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43.856000000000016</v>
      </c>
    </row>
    <row r="252" spans="1:39" x14ac:dyDescent="0.3">
      <c r="A252" t="str">
        <f>_xlfn.CONCAT(표1[[#This Row],[Year]],표1[[#This Row],[Player]])</f>
        <v>2007최준석</v>
      </c>
      <c r="B252">
        <v>2007</v>
      </c>
      <c r="C252">
        <v>42</v>
      </c>
      <c r="D252" t="s">
        <v>95</v>
      </c>
      <c r="E252" t="s">
        <v>1</v>
      </c>
      <c r="F252">
        <v>0.24399999999999999</v>
      </c>
      <c r="G252">
        <v>121</v>
      </c>
      <c r="H252">
        <v>451</v>
      </c>
      <c r="I252">
        <v>386</v>
      </c>
      <c r="J252">
        <v>48</v>
      </c>
      <c r="K252">
        <v>94</v>
      </c>
      <c r="L252">
        <f>표1[[#This Row],[H]]-표1[[#This Row],[2B]]-표1[[#This Row],[3B]]-표1[[#This Row],[HR]]</f>
        <v>56</v>
      </c>
      <c r="M252">
        <v>20</v>
      </c>
      <c r="N252">
        <v>2</v>
      </c>
      <c r="O252">
        <v>16</v>
      </c>
      <c r="P252">
        <v>166</v>
      </c>
      <c r="Q252">
        <v>75</v>
      </c>
      <c r="R252">
        <v>5</v>
      </c>
      <c r="S252">
        <v>7</v>
      </c>
      <c r="T252">
        <v>51</v>
      </c>
      <c r="U252">
        <v>1</v>
      </c>
      <c r="V252">
        <v>1</v>
      </c>
      <c r="W252">
        <v>0</v>
      </c>
      <c r="X252">
        <v>2</v>
      </c>
      <c r="Y252">
        <v>95</v>
      </c>
      <c r="Z252">
        <v>10</v>
      </c>
      <c r="AA252">
        <v>0.43</v>
      </c>
      <c r="AB252">
        <v>0.33</v>
      </c>
      <c r="AC252">
        <v>0.76</v>
      </c>
      <c r="AD252">
        <v>23</v>
      </c>
      <c r="AE252">
        <v>0.27900000000000003</v>
      </c>
      <c r="AF252">
        <v>0.2</v>
      </c>
      <c r="AG252">
        <f>(표1[[#This Row],[TB]]-표1[[#This Row],[H]])/표1[[#This Row],[AB]]</f>
        <v>0.18652849740932642</v>
      </c>
      <c r="AH252">
        <f>(표1[[#This Row],[TB]]-표1[[#This Row],[H]]+표1[[#This Row],[BB]]+표1[[#This Row],[SB]]-표1[[#This Row],[CS]])/표1[[#This Row],[AB]]</f>
        <v>0.32124352331606215</v>
      </c>
      <c r="AI252">
        <f>(표1[[#This Row],[TB]]+표1[[#This Row],[BB]]+표1[[#This Row],[HBP]]+표1[[#This Row],[SB]]-표1[[#This Row],[CS]])/(표1[[#This Row],[AB]]-표1[[#This Row],[H]]+표1[[#This Row],[CS]]+표1[[#This Row],[GDP]])</f>
        <v>0.72847682119205293</v>
      </c>
      <c r="AJ25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56.586164079822616</v>
      </c>
      <c r="AK252">
        <f>표1[[#This Row],[RC]]/((표1[[#This Row],[AB]]-표1[[#This Row],[H]]+표1[[#This Row],[SAC]]+표1[[#This Row],[SF]]+표1[[#This Row],[CS]]+표1[[#This Row],[GDP]])/27)</f>
        <v>4.8656892680102253</v>
      </c>
      <c r="AL25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0.32977977528089886</v>
      </c>
      <c r="AM25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57.679999999999993</v>
      </c>
    </row>
    <row r="253" spans="1:39" x14ac:dyDescent="0.3">
      <c r="A253" t="str">
        <f>_xlfn.CONCAT(표1[[#This Row],[Year]],표1[[#This Row],[Player]])</f>
        <v>2007권용관</v>
      </c>
      <c r="B253">
        <v>2007</v>
      </c>
      <c r="C253">
        <v>43</v>
      </c>
      <c r="D253" t="s">
        <v>96</v>
      </c>
      <c r="E253" t="s">
        <v>36</v>
      </c>
      <c r="F253">
        <v>0.24099999999999999</v>
      </c>
      <c r="G253">
        <v>121</v>
      </c>
      <c r="H253">
        <v>398</v>
      </c>
      <c r="I253">
        <v>349</v>
      </c>
      <c r="J253">
        <v>41</v>
      </c>
      <c r="K253">
        <v>84</v>
      </c>
      <c r="L253">
        <f>표1[[#This Row],[H]]-표1[[#This Row],[2B]]-표1[[#This Row],[3B]]-표1[[#This Row],[HR]]</f>
        <v>65</v>
      </c>
      <c r="M253">
        <v>12</v>
      </c>
      <c r="N253">
        <v>3</v>
      </c>
      <c r="O253">
        <v>4</v>
      </c>
      <c r="P253">
        <v>114</v>
      </c>
      <c r="Q253">
        <v>36</v>
      </c>
      <c r="R253">
        <v>16</v>
      </c>
      <c r="S253">
        <v>3</v>
      </c>
      <c r="T253">
        <v>26</v>
      </c>
      <c r="U253">
        <v>1</v>
      </c>
      <c r="V253">
        <v>11</v>
      </c>
      <c r="W253">
        <v>4</v>
      </c>
      <c r="X253">
        <v>4</v>
      </c>
      <c r="Y253">
        <v>67</v>
      </c>
      <c r="Z253">
        <v>14</v>
      </c>
      <c r="AA253">
        <v>0.32700000000000001</v>
      </c>
      <c r="AB253">
        <v>0.29799999999999999</v>
      </c>
      <c r="AC253">
        <v>0.625</v>
      </c>
      <c r="AD253">
        <v>18</v>
      </c>
      <c r="AE253">
        <v>0.223</v>
      </c>
      <c r="AF253">
        <v>0</v>
      </c>
      <c r="AG253">
        <f>(표1[[#This Row],[TB]]-표1[[#This Row],[H]])/표1[[#This Row],[AB]]</f>
        <v>8.5959885386819479E-2</v>
      </c>
      <c r="AH253">
        <f>(표1[[#This Row],[TB]]-표1[[#This Row],[H]]+표1[[#This Row],[BB]]+표1[[#This Row],[SB]]-표1[[#This Row],[CS]])/표1[[#This Row],[AB]]</f>
        <v>0.18051575931232092</v>
      </c>
      <c r="AI253">
        <f>(표1[[#This Row],[TB]]+표1[[#This Row],[BB]]+표1[[#This Row],[HBP]]+표1[[#This Row],[SB]]-표1[[#This Row],[CS]])/(표1[[#This Row],[AB]]-표1[[#This Row],[H]]+표1[[#This Row],[CS]]+표1[[#This Row],[GDP]])</f>
        <v>0.53356890459363959</v>
      </c>
      <c r="AJ25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33.078994974874377</v>
      </c>
      <c r="AK253">
        <f>표1[[#This Row],[RC]]/((표1[[#This Row],[AB]]-표1[[#This Row],[H]]+표1[[#This Row],[SAC]]+표1[[#This Row],[SF]]+표1[[#This Row],[CS]]+표1[[#This Row],[GDP]])/27)</f>
        <v>2.957393590468901</v>
      </c>
      <c r="AL25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0.27747506561679786</v>
      </c>
      <c r="AM25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33.013999999999989</v>
      </c>
    </row>
    <row r="254" spans="1:39" x14ac:dyDescent="0.3">
      <c r="A254" t="str">
        <f>_xlfn.CONCAT(표1[[#This Row],[Year]],표1[[#This Row],[Player]])</f>
        <v>2007김상현</v>
      </c>
      <c r="B254">
        <v>2007</v>
      </c>
      <c r="C254">
        <v>44</v>
      </c>
      <c r="D254" t="s">
        <v>97</v>
      </c>
      <c r="E254" t="s">
        <v>36</v>
      </c>
      <c r="F254">
        <v>0.23499999999999999</v>
      </c>
      <c r="G254">
        <v>121</v>
      </c>
      <c r="H254">
        <v>434</v>
      </c>
      <c r="I254">
        <v>378</v>
      </c>
      <c r="J254">
        <v>44</v>
      </c>
      <c r="K254">
        <v>89</v>
      </c>
      <c r="L254">
        <f>표1[[#This Row],[H]]-표1[[#This Row],[2B]]-표1[[#This Row],[3B]]-표1[[#This Row],[HR]]</f>
        <v>55</v>
      </c>
      <c r="M254">
        <v>27</v>
      </c>
      <c r="N254">
        <v>0</v>
      </c>
      <c r="O254">
        <v>7</v>
      </c>
      <c r="P254">
        <v>137</v>
      </c>
      <c r="Q254">
        <v>41</v>
      </c>
      <c r="R254">
        <v>10</v>
      </c>
      <c r="S254">
        <v>3</v>
      </c>
      <c r="T254">
        <v>33</v>
      </c>
      <c r="U254">
        <v>0</v>
      </c>
      <c r="V254">
        <v>6</v>
      </c>
      <c r="W254">
        <v>0</v>
      </c>
      <c r="X254">
        <v>10</v>
      </c>
      <c r="Y254">
        <v>85</v>
      </c>
      <c r="Z254">
        <v>12</v>
      </c>
      <c r="AA254">
        <v>0.36199999999999999</v>
      </c>
      <c r="AB254">
        <v>0.311</v>
      </c>
      <c r="AC254">
        <v>0.67300000000000004</v>
      </c>
      <c r="AD254">
        <v>24</v>
      </c>
      <c r="AE254">
        <v>0.23899999999999999</v>
      </c>
      <c r="AF254">
        <v>0.33300000000000002</v>
      </c>
      <c r="AG254">
        <f>(표1[[#This Row],[TB]]-표1[[#This Row],[H]])/표1[[#This Row],[AB]]</f>
        <v>0.12698412698412698</v>
      </c>
      <c r="AH254">
        <f>(표1[[#This Row],[TB]]-표1[[#This Row],[H]]+표1[[#This Row],[BB]]+표1[[#This Row],[SB]]-표1[[#This Row],[CS]])/표1[[#This Row],[AB]]</f>
        <v>0.23015873015873015</v>
      </c>
      <c r="AI254">
        <f>(표1[[#This Row],[TB]]+표1[[#This Row],[BB]]+표1[[#This Row],[HBP]]+표1[[#This Row],[SB]]-표1[[#This Row],[CS]])/(표1[[#This Row],[AB]]-표1[[#This Row],[H]]+표1[[#This Row],[CS]]+표1[[#This Row],[GDP]])</f>
        <v>0.61794019933554822</v>
      </c>
      <c r="AJ25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43.703225806451613</v>
      </c>
      <c r="AK254">
        <f>표1[[#This Row],[RC]]/((표1[[#This Row],[AB]]-표1[[#This Row],[H]]+표1[[#This Row],[SAC]]+표1[[#This Row],[SF]]+표1[[#This Row],[CS]]+표1[[#This Row],[GDP]])/27)</f>
        <v>3.7579206903636737</v>
      </c>
      <c r="AL25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0.29949999999999999</v>
      </c>
      <c r="AM25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43.1</v>
      </c>
    </row>
    <row r="255" spans="1:39" x14ac:dyDescent="0.3">
      <c r="A255" t="str">
        <f>_xlfn.CONCAT(표1[[#This Row],[Year]],표1[[#This Row],[Player]])</f>
        <v>2008김현수</v>
      </c>
      <c r="B255">
        <v>2008</v>
      </c>
      <c r="C255">
        <v>1</v>
      </c>
      <c r="D255" t="s">
        <v>98</v>
      </c>
      <c r="E255" t="s">
        <v>1</v>
      </c>
      <c r="F255">
        <v>0.35699999999999998</v>
      </c>
      <c r="G255">
        <v>126</v>
      </c>
      <c r="H255">
        <v>558</v>
      </c>
      <c r="I255">
        <v>470</v>
      </c>
      <c r="J255">
        <v>83</v>
      </c>
      <c r="K255">
        <v>168</v>
      </c>
      <c r="L255">
        <f>표1[[#This Row],[H]]-표1[[#This Row],[2B]]-표1[[#This Row],[3B]]-표1[[#This Row],[HR]]</f>
        <v>120</v>
      </c>
      <c r="M255">
        <v>34</v>
      </c>
      <c r="N255">
        <v>5</v>
      </c>
      <c r="O255">
        <v>9</v>
      </c>
      <c r="P255">
        <v>239</v>
      </c>
      <c r="Q255">
        <v>89</v>
      </c>
      <c r="R255">
        <v>0</v>
      </c>
      <c r="S255">
        <v>2</v>
      </c>
      <c r="T255">
        <v>80</v>
      </c>
      <c r="U255">
        <v>1</v>
      </c>
      <c r="V255">
        <v>13</v>
      </c>
      <c r="W255">
        <v>8</v>
      </c>
      <c r="X255">
        <v>5</v>
      </c>
      <c r="Y255">
        <v>40</v>
      </c>
      <c r="Z255">
        <v>12</v>
      </c>
      <c r="AA255">
        <v>0.50900000000000001</v>
      </c>
      <c r="AB255">
        <v>0.45400000000000001</v>
      </c>
      <c r="AC255">
        <v>0.96299999999999997</v>
      </c>
      <c r="AD255">
        <v>50</v>
      </c>
      <c r="AE255">
        <v>0.379</v>
      </c>
      <c r="AF255">
        <v>0</v>
      </c>
      <c r="AG255">
        <f>(표1[[#This Row],[TB]]-표1[[#This Row],[H]])/표1[[#This Row],[AB]]</f>
        <v>0.15106382978723404</v>
      </c>
      <c r="AH255">
        <f>(표1[[#This Row],[TB]]-표1[[#This Row],[H]]+표1[[#This Row],[BB]]+표1[[#This Row],[SB]]-표1[[#This Row],[CS]])/표1[[#This Row],[AB]]</f>
        <v>0.33191489361702126</v>
      </c>
      <c r="AI255">
        <f>(표1[[#This Row],[TB]]+표1[[#This Row],[BB]]+표1[[#This Row],[HBP]]+표1[[#This Row],[SB]]-표1[[#This Row],[CS]])/(표1[[#This Row],[AB]]-표1[[#This Row],[H]]+표1[[#This Row],[CS]]+표1[[#This Row],[GDP]])</f>
        <v>1.0217391304347827</v>
      </c>
      <c r="AJ25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112.37543985637342</v>
      </c>
      <c r="AK255">
        <f>표1[[#This Row],[RC]]/((표1[[#This Row],[AB]]-표1[[#This Row],[H]]+표1[[#This Row],[SAC]]+표1[[#This Row],[SF]]+표1[[#This Row],[CS]]+표1[[#This Row],[GDP]])/27)</f>
        <v>9.3646199880311176</v>
      </c>
      <c r="AL25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0.41997122302158274</v>
      </c>
      <c r="AM25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100.02999999999999</v>
      </c>
    </row>
    <row r="256" spans="1:39" x14ac:dyDescent="0.3">
      <c r="A256" t="str">
        <f>_xlfn.CONCAT(표1[[#This Row],[Year]],표1[[#This Row],[Player]])</f>
        <v>2008홍성흔</v>
      </c>
      <c r="B256">
        <v>2008</v>
      </c>
      <c r="C256">
        <v>2</v>
      </c>
      <c r="D256" t="s">
        <v>49</v>
      </c>
      <c r="E256" t="s">
        <v>1</v>
      </c>
      <c r="F256">
        <v>0.33100000000000002</v>
      </c>
      <c r="G256">
        <v>114</v>
      </c>
      <c r="H256">
        <v>460</v>
      </c>
      <c r="I256">
        <v>423</v>
      </c>
      <c r="J256">
        <v>45</v>
      </c>
      <c r="K256">
        <v>140</v>
      </c>
      <c r="L256">
        <f>표1[[#This Row],[H]]-표1[[#This Row],[2B]]-표1[[#This Row],[3B]]-표1[[#This Row],[HR]]</f>
        <v>111</v>
      </c>
      <c r="M256">
        <v>19</v>
      </c>
      <c r="N256">
        <v>2</v>
      </c>
      <c r="O256">
        <v>8</v>
      </c>
      <c r="P256">
        <v>187</v>
      </c>
      <c r="Q256">
        <v>63</v>
      </c>
      <c r="R256">
        <v>3</v>
      </c>
      <c r="S256">
        <v>5</v>
      </c>
      <c r="T256">
        <v>25</v>
      </c>
      <c r="U256">
        <v>5</v>
      </c>
      <c r="V256">
        <v>8</v>
      </c>
      <c r="W256">
        <v>1</v>
      </c>
      <c r="X256">
        <v>4</v>
      </c>
      <c r="Y256">
        <v>35</v>
      </c>
      <c r="Z256">
        <v>16</v>
      </c>
      <c r="AA256">
        <v>0.442</v>
      </c>
      <c r="AB256">
        <v>0.37</v>
      </c>
      <c r="AC256">
        <v>0.81200000000000006</v>
      </c>
      <c r="AD256">
        <v>37</v>
      </c>
      <c r="AE256">
        <v>0.309</v>
      </c>
      <c r="AF256">
        <v>0</v>
      </c>
      <c r="AG256">
        <f>(표1[[#This Row],[TB]]-표1[[#This Row],[H]])/표1[[#This Row],[AB]]</f>
        <v>0.1111111111111111</v>
      </c>
      <c r="AH256">
        <f>(표1[[#This Row],[TB]]-표1[[#This Row],[H]]+표1[[#This Row],[BB]]+표1[[#This Row],[SB]]-표1[[#This Row],[CS]])/표1[[#This Row],[AB]]</f>
        <v>0.1867612293144208</v>
      </c>
      <c r="AI256">
        <f>(표1[[#This Row],[TB]]+표1[[#This Row],[BB]]+표1[[#This Row],[HBP]]+표1[[#This Row],[SB]]-표1[[#This Row],[CS]])/(표1[[#This Row],[AB]]-표1[[#This Row],[H]]+표1[[#This Row],[CS]]+표1[[#This Row],[GDP]])</f>
        <v>0.74333333333333329</v>
      </c>
      <c r="AJ25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66.602434782608697</v>
      </c>
      <c r="AK256">
        <f>표1[[#This Row],[RC]]/((표1[[#This Row],[AB]]-표1[[#This Row],[H]]+표1[[#This Row],[SAC]]+표1[[#This Row],[SF]]+표1[[#This Row],[CS]]+표1[[#This Row],[GDP]])/27)</f>
        <v>5.838525127046867</v>
      </c>
      <c r="AL25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0.35036504424778764</v>
      </c>
      <c r="AM25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63.61</v>
      </c>
    </row>
    <row r="257" spans="1:39" x14ac:dyDescent="0.3">
      <c r="A257" t="str">
        <f>_xlfn.CONCAT(표1[[#This Row],[Year]],표1[[#This Row],[Player]])</f>
        <v>2008최정</v>
      </c>
      <c r="B257">
        <v>2008</v>
      </c>
      <c r="C257">
        <v>3</v>
      </c>
      <c r="D257" t="s">
        <v>92</v>
      </c>
      <c r="E257" t="s">
        <v>8</v>
      </c>
      <c r="F257">
        <v>0.32800000000000001</v>
      </c>
      <c r="G257">
        <v>114</v>
      </c>
      <c r="H257">
        <v>476</v>
      </c>
      <c r="I257">
        <v>406</v>
      </c>
      <c r="J257">
        <v>77</v>
      </c>
      <c r="K257">
        <v>133</v>
      </c>
      <c r="L257">
        <f>표1[[#This Row],[H]]-표1[[#This Row],[2B]]-표1[[#This Row],[3B]]-표1[[#This Row],[HR]]</f>
        <v>96</v>
      </c>
      <c r="M257">
        <v>24</v>
      </c>
      <c r="N257">
        <v>1</v>
      </c>
      <c r="O257">
        <v>12</v>
      </c>
      <c r="P257">
        <v>195</v>
      </c>
      <c r="Q257">
        <v>61</v>
      </c>
      <c r="R257">
        <v>10</v>
      </c>
      <c r="S257">
        <v>2</v>
      </c>
      <c r="T257">
        <v>41</v>
      </c>
      <c r="U257">
        <v>2</v>
      </c>
      <c r="V257">
        <v>19</v>
      </c>
      <c r="W257">
        <v>8</v>
      </c>
      <c r="X257">
        <v>17</v>
      </c>
      <c r="Y257">
        <v>58</v>
      </c>
      <c r="Z257">
        <v>7</v>
      </c>
      <c r="AA257">
        <v>0.48</v>
      </c>
      <c r="AB257">
        <v>0.41</v>
      </c>
      <c r="AC257">
        <v>0.89</v>
      </c>
      <c r="AD257">
        <v>33</v>
      </c>
      <c r="AE257">
        <v>0.28399999999999997</v>
      </c>
      <c r="AF257">
        <v>0</v>
      </c>
      <c r="AG257">
        <f>(표1[[#This Row],[TB]]-표1[[#This Row],[H]])/표1[[#This Row],[AB]]</f>
        <v>0.15270935960591134</v>
      </c>
      <c r="AH257">
        <f>(표1[[#This Row],[TB]]-표1[[#This Row],[H]]+표1[[#This Row],[BB]]+표1[[#This Row],[SB]]-표1[[#This Row],[CS]])/표1[[#This Row],[AB]]</f>
        <v>0.28078817733990147</v>
      </c>
      <c r="AI257">
        <f>(표1[[#This Row],[TB]]+표1[[#This Row],[BB]]+표1[[#This Row],[HBP]]+표1[[#This Row],[SB]]-표1[[#This Row],[CS]])/(표1[[#This Row],[AB]]-표1[[#This Row],[H]]+표1[[#This Row],[CS]]+표1[[#This Row],[GDP]])</f>
        <v>0.91666666666666663</v>
      </c>
      <c r="AJ25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83.444705882352949</v>
      </c>
      <c r="AK257">
        <f>표1[[#This Row],[RC]]/((표1[[#This Row],[AB]]-표1[[#This Row],[H]]+표1[[#This Row],[SAC]]+표1[[#This Row],[SF]]+표1[[#This Row],[CS]]+표1[[#This Row],[GDP]])/27)</f>
        <v>7.5100235294117654</v>
      </c>
      <c r="AL25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0.38910344827586202</v>
      </c>
      <c r="AM25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77.51600000000002</v>
      </c>
    </row>
    <row r="258" spans="1:39" x14ac:dyDescent="0.3">
      <c r="A258" t="str">
        <f>_xlfn.CONCAT(표1[[#This Row],[Year]],표1[[#This Row],[Player]])</f>
        <v>2008조성환</v>
      </c>
      <c r="B258">
        <v>2008</v>
      </c>
      <c r="C258">
        <v>4</v>
      </c>
      <c r="D258" t="s">
        <v>16</v>
      </c>
      <c r="E258" t="s">
        <v>17</v>
      </c>
      <c r="F258">
        <v>0.32700000000000001</v>
      </c>
      <c r="G258">
        <v>123</v>
      </c>
      <c r="H258">
        <v>525</v>
      </c>
      <c r="I258">
        <v>462</v>
      </c>
      <c r="J258">
        <v>79</v>
      </c>
      <c r="K258">
        <v>151</v>
      </c>
      <c r="L258">
        <f>표1[[#This Row],[H]]-표1[[#This Row],[2B]]-표1[[#This Row],[3B]]-표1[[#This Row],[HR]]</f>
        <v>111</v>
      </c>
      <c r="M258">
        <v>27</v>
      </c>
      <c r="N258">
        <v>3</v>
      </c>
      <c r="O258">
        <v>10</v>
      </c>
      <c r="P258">
        <v>214</v>
      </c>
      <c r="Q258">
        <v>81</v>
      </c>
      <c r="R258">
        <v>4</v>
      </c>
      <c r="S258">
        <v>11</v>
      </c>
      <c r="T258">
        <v>37</v>
      </c>
      <c r="U258">
        <v>0</v>
      </c>
      <c r="V258">
        <v>31</v>
      </c>
      <c r="W258">
        <v>3</v>
      </c>
      <c r="X258">
        <v>11</v>
      </c>
      <c r="Y258">
        <v>81</v>
      </c>
      <c r="Z258">
        <v>6</v>
      </c>
      <c r="AA258">
        <v>0.46300000000000002</v>
      </c>
      <c r="AB258">
        <v>0.38200000000000001</v>
      </c>
      <c r="AC258">
        <v>0.84499999999999997</v>
      </c>
      <c r="AD258">
        <v>48</v>
      </c>
      <c r="AE258">
        <v>0.32400000000000001</v>
      </c>
      <c r="AF258">
        <v>0</v>
      </c>
      <c r="AG258">
        <f>(표1[[#This Row],[TB]]-표1[[#This Row],[H]])/표1[[#This Row],[AB]]</f>
        <v>0.13636363636363635</v>
      </c>
      <c r="AH258">
        <f>(표1[[#This Row],[TB]]-표1[[#This Row],[H]]+표1[[#This Row],[BB]]+표1[[#This Row],[SB]]-표1[[#This Row],[CS]])/표1[[#This Row],[AB]]</f>
        <v>0.27705627705627706</v>
      </c>
      <c r="AI258">
        <f>(표1[[#This Row],[TB]]+표1[[#This Row],[BB]]+표1[[#This Row],[HBP]]+표1[[#This Row],[SB]]-표1[[#This Row],[CS]])/(표1[[#This Row],[AB]]-표1[[#This Row],[H]]+표1[[#This Row],[CS]]+표1[[#This Row],[GDP]])</f>
        <v>0.90625</v>
      </c>
      <c r="AJ25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90.62095238095236</v>
      </c>
      <c r="AK258">
        <f>표1[[#This Row],[RC]]/((표1[[#This Row],[AB]]-표1[[#This Row],[H]]+표1[[#This Row],[SAC]]+표1[[#This Row],[SF]]+표1[[#This Row],[CS]]+표1[[#This Row],[GDP]])/27)</f>
        <v>7.3037782515991463</v>
      </c>
      <c r="AL25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0.3664702495201535</v>
      </c>
      <c r="AM25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86.77200000000002</v>
      </c>
    </row>
    <row r="259" spans="1:39" x14ac:dyDescent="0.3">
      <c r="A259" t="str">
        <f>_xlfn.CONCAT(표1[[#This Row],[Year]],표1[[#This Row],[Player]])</f>
        <v>2008김태균</v>
      </c>
      <c r="B259">
        <v>2008</v>
      </c>
      <c r="C259">
        <v>5</v>
      </c>
      <c r="D259" t="s">
        <v>10</v>
      </c>
      <c r="E259" t="s">
        <v>11</v>
      </c>
      <c r="F259">
        <v>0.32400000000000001</v>
      </c>
      <c r="G259">
        <v>115</v>
      </c>
      <c r="H259">
        <v>484</v>
      </c>
      <c r="I259">
        <v>410</v>
      </c>
      <c r="J259">
        <v>81</v>
      </c>
      <c r="K259">
        <v>133</v>
      </c>
      <c r="L259">
        <f>표1[[#This Row],[H]]-표1[[#This Row],[2B]]-표1[[#This Row],[3B]]-표1[[#This Row],[HR]]</f>
        <v>74</v>
      </c>
      <c r="M259">
        <v>27</v>
      </c>
      <c r="N259">
        <v>1</v>
      </c>
      <c r="O259">
        <v>31</v>
      </c>
      <c r="P259">
        <v>255</v>
      </c>
      <c r="Q259">
        <v>92</v>
      </c>
      <c r="R259">
        <v>0</v>
      </c>
      <c r="S259">
        <v>5</v>
      </c>
      <c r="T259">
        <v>64</v>
      </c>
      <c r="U259">
        <v>4</v>
      </c>
      <c r="V259">
        <v>2</v>
      </c>
      <c r="W259">
        <v>0</v>
      </c>
      <c r="X259">
        <v>5</v>
      </c>
      <c r="Y259">
        <v>67</v>
      </c>
      <c r="Z259">
        <v>8</v>
      </c>
      <c r="AA259">
        <v>0.622</v>
      </c>
      <c r="AB259">
        <v>0.41699999999999998</v>
      </c>
      <c r="AC259">
        <v>1.0389999999999999</v>
      </c>
      <c r="AD259">
        <v>39</v>
      </c>
      <c r="AE259">
        <v>0.378</v>
      </c>
      <c r="AF259">
        <v>0</v>
      </c>
      <c r="AG259">
        <f>(표1[[#This Row],[TB]]-표1[[#This Row],[H]])/표1[[#This Row],[AB]]</f>
        <v>0.29756097560975608</v>
      </c>
      <c r="AH259">
        <f>(표1[[#This Row],[TB]]-표1[[#This Row],[H]]+표1[[#This Row],[BB]]+표1[[#This Row],[SB]]-표1[[#This Row],[CS]])/표1[[#This Row],[AB]]</f>
        <v>0.45853658536585368</v>
      </c>
      <c r="AI259">
        <f>(표1[[#This Row],[TB]]+표1[[#This Row],[BB]]+표1[[#This Row],[HBP]]+표1[[#This Row],[SB]]-표1[[#This Row],[CS]])/(표1[[#This Row],[AB]]-표1[[#This Row],[H]]+표1[[#This Row],[CS]]+표1[[#This Row],[GDP]])</f>
        <v>1.143859649122807</v>
      </c>
      <c r="AJ25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110.44371900826445</v>
      </c>
      <c r="AK259">
        <f>표1[[#This Row],[RC]]/((표1[[#This Row],[AB]]-표1[[#This Row],[H]]+표1[[#This Row],[SAC]]+표1[[#This Row],[SF]]+표1[[#This Row],[CS]]+표1[[#This Row],[GDP]])/27)</f>
        <v>10.282691080079793</v>
      </c>
      <c r="AL25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0.4371166666666666</v>
      </c>
      <c r="AM25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99.003999999999991</v>
      </c>
    </row>
    <row r="260" spans="1:39" x14ac:dyDescent="0.3">
      <c r="A260" t="str">
        <f>_xlfn.CONCAT(표1[[#This Row],[Year]],표1[[#This Row],[Player]])</f>
        <v>2008박재홍</v>
      </c>
      <c r="B260">
        <v>2008</v>
      </c>
      <c r="C260">
        <v>6</v>
      </c>
      <c r="D260" t="s">
        <v>18</v>
      </c>
      <c r="E260" t="s">
        <v>8</v>
      </c>
      <c r="F260">
        <v>0.318</v>
      </c>
      <c r="G260">
        <v>112</v>
      </c>
      <c r="H260">
        <v>471</v>
      </c>
      <c r="I260">
        <v>396</v>
      </c>
      <c r="J260">
        <v>66</v>
      </c>
      <c r="K260">
        <v>126</v>
      </c>
      <c r="L260">
        <f>표1[[#This Row],[H]]-표1[[#This Row],[2B]]-표1[[#This Row],[3B]]-표1[[#This Row],[HR]]</f>
        <v>79</v>
      </c>
      <c r="M260">
        <v>26</v>
      </c>
      <c r="N260">
        <v>2</v>
      </c>
      <c r="O260">
        <v>19</v>
      </c>
      <c r="P260">
        <v>213</v>
      </c>
      <c r="Q260">
        <v>72</v>
      </c>
      <c r="R260">
        <v>0</v>
      </c>
      <c r="S260">
        <v>3</v>
      </c>
      <c r="T260">
        <v>69</v>
      </c>
      <c r="U260">
        <v>4</v>
      </c>
      <c r="V260">
        <v>5</v>
      </c>
      <c r="W260">
        <v>6</v>
      </c>
      <c r="X260">
        <v>3</v>
      </c>
      <c r="Y260">
        <v>66</v>
      </c>
      <c r="Z260">
        <v>14</v>
      </c>
      <c r="AA260">
        <v>0.53800000000000003</v>
      </c>
      <c r="AB260">
        <v>0.42</v>
      </c>
      <c r="AC260">
        <v>0.95799999999999996</v>
      </c>
      <c r="AD260">
        <v>33</v>
      </c>
      <c r="AE260">
        <v>0.32700000000000001</v>
      </c>
      <c r="AF260">
        <v>0.25</v>
      </c>
      <c r="AG260">
        <f>(표1[[#This Row],[TB]]-표1[[#This Row],[H]])/표1[[#This Row],[AB]]</f>
        <v>0.2196969696969697</v>
      </c>
      <c r="AH260">
        <f>(표1[[#This Row],[TB]]-표1[[#This Row],[H]]+표1[[#This Row],[BB]]+표1[[#This Row],[SB]]-표1[[#This Row],[CS]])/표1[[#This Row],[AB]]</f>
        <v>0.39141414141414144</v>
      </c>
      <c r="AI260">
        <f>(표1[[#This Row],[TB]]+표1[[#This Row],[BB]]+표1[[#This Row],[HBP]]+표1[[#This Row],[SB]]-표1[[#This Row],[CS]])/(표1[[#This Row],[AB]]-표1[[#This Row],[H]]+표1[[#This Row],[CS]]+표1[[#This Row],[GDP]])</f>
        <v>0.97931034482758617</v>
      </c>
      <c r="AJ26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88.750573248407647</v>
      </c>
      <c r="AK260">
        <f>표1[[#This Row],[RC]]/((표1[[#This Row],[AB]]-표1[[#This Row],[H]]+표1[[#This Row],[SAC]]+표1[[#This Row],[SF]]+표1[[#This Row],[CS]]+표1[[#This Row],[GDP]])/27)</f>
        <v>8.1783804699897829</v>
      </c>
      <c r="AL26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0.41089293361884366</v>
      </c>
      <c r="AM26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81.862000000000009</v>
      </c>
    </row>
    <row r="261" spans="1:39" x14ac:dyDescent="0.3">
      <c r="A261" t="str">
        <f>_xlfn.CONCAT(표1[[#This Row],[Year]],표1[[#This Row],[Player]])</f>
        <v>2008이택근</v>
      </c>
      <c r="B261">
        <v>2008</v>
      </c>
      <c r="C261">
        <v>7</v>
      </c>
      <c r="D261" t="s">
        <v>77</v>
      </c>
      <c r="E261" t="s">
        <v>99</v>
      </c>
      <c r="F261">
        <v>0.317</v>
      </c>
      <c r="G261">
        <v>110</v>
      </c>
      <c r="H261">
        <v>428</v>
      </c>
      <c r="I261">
        <v>372</v>
      </c>
      <c r="J261">
        <v>59</v>
      </c>
      <c r="K261">
        <v>118</v>
      </c>
      <c r="L261">
        <f>표1[[#This Row],[H]]-표1[[#This Row],[2B]]-표1[[#This Row],[3B]]-표1[[#This Row],[HR]]</f>
        <v>86</v>
      </c>
      <c r="M261">
        <v>19</v>
      </c>
      <c r="N261">
        <v>1</v>
      </c>
      <c r="O261">
        <v>12</v>
      </c>
      <c r="P261">
        <v>175</v>
      </c>
      <c r="Q261">
        <v>58</v>
      </c>
      <c r="R261">
        <v>1</v>
      </c>
      <c r="S261">
        <v>3</v>
      </c>
      <c r="T261">
        <v>48</v>
      </c>
      <c r="U261">
        <v>4</v>
      </c>
      <c r="V261">
        <v>18</v>
      </c>
      <c r="W261">
        <v>6</v>
      </c>
      <c r="X261">
        <v>4</v>
      </c>
      <c r="Y261">
        <v>44</v>
      </c>
      <c r="Z261">
        <v>10</v>
      </c>
      <c r="AA261">
        <v>0.47</v>
      </c>
      <c r="AB261">
        <v>0.39800000000000002</v>
      </c>
      <c r="AC261">
        <v>0.86799999999999999</v>
      </c>
      <c r="AD261">
        <v>33</v>
      </c>
      <c r="AE261">
        <v>0.34799999999999998</v>
      </c>
      <c r="AF261">
        <v>0.4</v>
      </c>
      <c r="AG261">
        <f>(표1[[#This Row],[TB]]-표1[[#This Row],[H]])/표1[[#This Row],[AB]]</f>
        <v>0.15322580645161291</v>
      </c>
      <c r="AH261">
        <f>(표1[[#This Row],[TB]]-표1[[#This Row],[H]]+표1[[#This Row],[BB]]+표1[[#This Row],[SB]]-표1[[#This Row],[CS]])/표1[[#This Row],[AB]]</f>
        <v>0.31451612903225806</v>
      </c>
      <c r="AI261">
        <f>(표1[[#This Row],[TB]]+표1[[#This Row],[BB]]+표1[[#This Row],[HBP]]+표1[[#This Row],[SB]]-표1[[#This Row],[CS]])/(표1[[#This Row],[AB]]-표1[[#This Row],[H]]+표1[[#This Row],[CS]]+표1[[#This Row],[GDP]])</f>
        <v>0.88518518518518519</v>
      </c>
      <c r="AJ26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71.574018691588776</v>
      </c>
      <c r="AK261">
        <f>표1[[#This Row],[RC]]/((표1[[#This Row],[AB]]-표1[[#This Row],[H]]+표1[[#This Row],[SAC]]+표1[[#This Row],[SF]]+표1[[#This Row],[CS]]+표1[[#This Row],[GDP]])/27)</f>
        <v>7.0529142506310105</v>
      </c>
      <c r="AL26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0.37704018912529552</v>
      </c>
      <c r="AM26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67.878</v>
      </c>
    </row>
    <row r="262" spans="1:39" x14ac:dyDescent="0.3">
      <c r="A262" t="str">
        <f>_xlfn.CONCAT(표1[[#This Row],[Year]],표1[[#This Row],[Player]])</f>
        <v>2008박한이</v>
      </c>
      <c r="B262">
        <v>2008</v>
      </c>
      <c r="C262">
        <v>8</v>
      </c>
      <c r="D262" t="s">
        <v>9</v>
      </c>
      <c r="E262" t="s">
        <v>6</v>
      </c>
      <c r="F262">
        <v>0.316</v>
      </c>
      <c r="G262">
        <v>104</v>
      </c>
      <c r="H262">
        <v>442</v>
      </c>
      <c r="I262">
        <v>370</v>
      </c>
      <c r="J262">
        <v>57</v>
      </c>
      <c r="K262">
        <v>117</v>
      </c>
      <c r="L262">
        <f>표1[[#This Row],[H]]-표1[[#This Row],[2B]]-표1[[#This Row],[3B]]-표1[[#This Row],[HR]]</f>
        <v>94</v>
      </c>
      <c r="M262">
        <v>17</v>
      </c>
      <c r="N262">
        <v>2</v>
      </c>
      <c r="O262">
        <v>4</v>
      </c>
      <c r="P262">
        <v>150</v>
      </c>
      <c r="Q262">
        <v>41</v>
      </c>
      <c r="R262">
        <v>5</v>
      </c>
      <c r="S262">
        <v>3</v>
      </c>
      <c r="T262">
        <v>63</v>
      </c>
      <c r="U262">
        <v>1</v>
      </c>
      <c r="V262">
        <v>5</v>
      </c>
      <c r="W262">
        <v>6</v>
      </c>
      <c r="X262">
        <v>1</v>
      </c>
      <c r="Y262">
        <v>37</v>
      </c>
      <c r="Z262">
        <v>6</v>
      </c>
      <c r="AA262">
        <v>0.40500000000000003</v>
      </c>
      <c r="AB262">
        <v>0.41399999999999998</v>
      </c>
      <c r="AC262">
        <v>0.81899999999999995</v>
      </c>
      <c r="AD262">
        <v>32</v>
      </c>
      <c r="AE262">
        <v>0.34200000000000003</v>
      </c>
      <c r="AF262">
        <v>0.2</v>
      </c>
      <c r="AG262">
        <f>(표1[[#This Row],[TB]]-표1[[#This Row],[H]])/표1[[#This Row],[AB]]</f>
        <v>8.9189189189189194E-2</v>
      </c>
      <c r="AH262">
        <f>(표1[[#This Row],[TB]]-표1[[#This Row],[H]]+표1[[#This Row],[BB]]+표1[[#This Row],[SB]]-표1[[#This Row],[CS]])/표1[[#This Row],[AB]]</f>
        <v>0.25675675675675674</v>
      </c>
      <c r="AI262">
        <f>(표1[[#This Row],[TB]]+표1[[#This Row],[BB]]+표1[[#This Row],[HBP]]+표1[[#This Row],[SB]]-표1[[#This Row],[CS]])/(표1[[#This Row],[AB]]-표1[[#This Row],[H]]+표1[[#This Row],[CS]]+표1[[#This Row],[GDP]])</f>
        <v>0.80377358490566042</v>
      </c>
      <c r="AJ26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66.200588235294106</v>
      </c>
      <c r="AK262">
        <f>표1[[#This Row],[RC]]/((표1[[#This Row],[AB]]-표1[[#This Row],[H]]+표1[[#This Row],[SAC]]+표1[[#This Row],[SF]]+표1[[#This Row],[CS]]+표1[[#This Row],[GDP]])/27)</f>
        <v>6.5473109243697474</v>
      </c>
      <c r="AL26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0.36570412844036698</v>
      </c>
      <c r="AM26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63.754000000000005</v>
      </c>
    </row>
    <row r="263" spans="1:39" x14ac:dyDescent="0.3">
      <c r="A263" t="str">
        <f>_xlfn.CONCAT(표1[[#This Row],[Year]],표1[[#This Row],[Player]])</f>
        <v>2008정근우</v>
      </c>
      <c r="B263">
        <v>2008</v>
      </c>
      <c r="C263">
        <v>9</v>
      </c>
      <c r="D263" t="s">
        <v>79</v>
      </c>
      <c r="E263" t="s">
        <v>8</v>
      </c>
      <c r="F263">
        <v>0.314</v>
      </c>
      <c r="G263">
        <v>124</v>
      </c>
      <c r="H263">
        <v>550</v>
      </c>
      <c r="I263">
        <v>491</v>
      </c>
      <c r="J263">
        <v>73</v>
      </c>
      <c r="K263">
        <v>154</v>
      </c>
      <c r="L263">
        <f>표1[[#This Row],[H]]-표1[[#This Row],[2B]]-표1[[#This Row],[3B]]-표1[[#This Row],[HR]]</f>
        <v>122</v>
      </c>
      <c r="M263">
        <v>20</v>
      </c>
      <c r="N263">
        <v>4</v>
      </c>
      <c r="O263">
        <v>8</v>
      </c>
      <c r="P263">
        <v>206</v>
      </c>
      <c r="Q263">
        <v>58</v>
      </c>
      <c r="R263">
        <v>6</v>
      </c>
      <c r="S263">
        <v>4</v>
      </c>
      <c r="T263">
        <v>46</v>
      </c>
      <c r="U263">
        <v>1</v>
      </c>
      <c r="V263">
        <v>40</v>
      </c>
      <c r="W263">
        <v>20</v>
      </c>
      <c r="X263">
        <v>3</v>
      </c>
      <c r="Y263">
        <v>53</v>
      </c>
      <c r="Z263">
        <v>9</v>
      </c>
      <c r="AA263">
        <v>0.42</v>
      </c>
      <c r="AB263">
        <v>0.373</v>
      </c>
      <c r="AC263">
        <v>0.79300000000000004</v>
      </c>
      <c r="AD263">
        <v>49</v>
      </c>
      <c r="AE263">
        <v>0.3</v>
      </c>
      <c r="AF263">
        <v>0.5</v>
      </c>
      <c r="AG263">
        <f>(표1[[#This Row],[TB]]-표1[[#This Row],[H]])/표1[[#This Row],[AB]]</f>
        <v>0.10590631364562118</v>
      </c>
      <c r="AH263">
        <f>(표1[[#This Row],[TB]]-표1[[#This Row],[H]]+표1[[#This Row],[BB]]+표1[[#This Row],[SB]]-표1[[#This Row],[CS]])/표1[[#This Row],[AB]]</f>
        <v>0.24032586558044808</v>
      </c>
      <c r="AI263">
        <f>(표1[[#This Row],[TB]]+표1[[#This Row],[BB]]+표1[[#This Row],[HBP]]+표1[[#This Row],[SB]]-표1[[#This Row],[CS]])/(표1[[#This Row],[AB]]-표1[[#This Row],[H]]+표1[[#This Row],[CS]]+표1[[#This Row],[GDP]])</f>
        <v>0.75136612021857918</v>
      </c>
      <c r="AJ26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77.344581818181808</v>
      </c>
      <c r="AK263">
        <f>표1[[#This Row],[RC]]/((표1[[#This Row],[AB]]-표1[[#This Row],[H]]+표1[[#This Row],[SAC]]+표1[[#This Row],[SF]]+표1[[#This Row],[CS]]+표1[[#This Row],[GDP]])/27)</f>
        <v>5.553999226305609</v>
      </c>
      <c r="AL26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0.34822283609576421</v>
      </c>
      <c r="AM26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76.085999999999999</v>
      </c>
    </row>
    <row r="264" spans="1:39" x14ac:dyDescent="0.3">
      <c r="A264" t="str">
        <f>_xlfn.CONCAT(표1[[#This Row],[Year]],표1[[#This Row],[Player]])</f>
        <v>2008김주찬</v>
      </c>
      <c r="B264">
        <v>2008</v>
      </c>
      <c r="C264">
        <v>10</v>
      </c>
      <c r="D264" t="s">
        <v>65</v>
      </c>
      <c r="E264" t="s">
        <v>17</v>
      </c>
      <c r="F264">
        <v>0.313</v>
      </c>
      <c r="G264">
        <v>104</v>
      </c>
      <c r="H264">
        <v>458</v>
      </c>
      <c r="I264">
        <v>412</v>
      </c>
      <c r="J264">
        <v>75</v>
      </c>
      <c r="K264">
        <v>129</v>
      </c>
      <c r="L264">
        <f>표1[[#This Row],[H]]-표1[[#This Row],[2B]]-표1[[#This Row],[3B]]-표1[[#This Row],[HR]]</f>
        <v>105</v>
      </c>
      <c r="M264">
        <v>16</v>
      </c>
      <c r="N264">
        <v>7</v>
      </c>
      <c r="O264">
        <v>1</v>
      </c>
      <c r="P264">
        <v>162</v>
      </c>
      <c r="Q264">
        <v>42</v>
      </c>
      <c r="R264">
        <v>9</v>
      </c>
      <c r="S264">
        <v>5</v>
      </c>
      <c r="T264">
        <v>24</v>
      </c>
      <c r="U264">
        <v>0</v>
      </c>
      <c r="V264">
        <v>32</v>
      </c>
      <c r="W264">
        <v>18</v>
      </c>
      <c r="X264">
        <v>8</v>
      </c>
      <c r="Y264">
        <v>61</v>
      </c>
      <c r="Z264">
        <v>6</v>
      </c>
      <c r="AA264">
        <v>0.39300000000000002</v>
      </c>
      <c r="AB264">
        <v>0.35899999999999999</v>
      </c>
      <c r="AC264">
        <v>0.752</v>
      </c>
      <c r="AD264">
        <v>40</v>
      </c>
      <c r="AE264">
        <v>0.311</v>
      </c>
      <c r="AF264">
        <v>0</v>
      </c>
      <c r="AG264">
        <f>(표1[[#This Row],[TB]]-표1[[#This Row],[H]])/표1[[#This Row],[AB]]</f>
        <v>8.0097087378640783E-2</v>
      </c>
      <c r="AH264">
        <f>(표1[[#This Row],[TB]]-표1[[#This Row],[H]]+표1[[#This Row],[BB]]+표1[[#This Row],[SB]]-표1[[#This Row],[CS]])/표1[[#This Row],[AB]]</f>
        <v>0.17233009708737865</v>
      </c>
      <c r="AI264">
        <f>(표1[[#This Row],[TB]]+표1[[#This Row],[BB]]+표1[[#This Row],[HBP]]+표1[[#This Row],[SB]]-표1[[#This Row],[CS]])/(표1[[#This Row],[AB]]-표1[[#This Row],[H]]+표1[[#This Row],[CS]]+표1[[#This Row],[GDP]])</f>
        <v>0.67752442996742668</v>
      </c>
      <c r="AJ26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58.10235807860262</v>
      </c>
      <c r="AK264">
        <f>표1[[#This Row],[RC]]/((표1[[#This Row],[AB]]-표1[[#This Row],[H]]+표1[[#This Row],[SAC]]+표1[[#This Row],[SF]]+표1[[#This Row],[CS]]+표1[[#This Row],[GDP]])/27)</f>
        <v>4.8871142309105009</v>
      </c>
      <c r="AL26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0.33073719376391986</v>
      </c>
      <c r="AM26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57.65199999999998</v>
      </c>
    </row>
    <row r="265" spans="1:39" x14ac:dyDescent="0.3">
      <c r="A265" t="str">
        <f>_xlfn.CONCAT(표1[[#This Row],[Year]],표1[[#This Row],[Player]])</f>
        <v>2008이용규</v>
      </c>
      <c r="B265">
        <v>2008</v>
      </c>
      <c r="C265">
        <v>11</v>
      </c>
      <c r="D265" t="s">
        <v>74</v>
      </c>
      <c r="E265" t="s">
        <v>13</v>
      </c>
      <c r="F265">
        <v>0.312</v>
      </c>
      <c r="G265">
        <v>106</v>
      </c>
      <c r="H265">
        <v>473</v>
      </c>
      <c r="I265">
        <v>417</v>
      </c>
      <c r="J265">
        <v>62</v>
      </c>
      <c r="K265">
        <v>130</v>
      </c>
      <c r="L265">
        <f>표1[[#This Row],[H]]-표1[[#This Row],[2B]]-표1[[#This Row],[3B]]-표1[[#This Row],[HR]]</f>
        <v>100</v>
      </c>
      <c r="M265">
        <v>24</v>
      </c>
      <c r="N265">
        <v>6</v>
      </c>
      <c r="O265">
        <v>0</v>
      </c>
      <c r="P265">
        <v>166</v>
      </c>
      <c r="Q265">
        <v>38</v>
      </c>
      <c r="R265">
        <v>6</v>
      </c>
      <c r="S265">
        <v>0</v>
      </c>
      <c r="T265">
        <v>47</v>
      </c>
      <c r="U265">
        <v>1</v>
      </c>
      <c r="V265">
        <v>28</v>
      </c>
      <c r="W265">
        <v>9</v>
      </c>
      <c r="X265">
        <v>3</v>
      </c>
      <c r="Y265">
        <v>37</v>
      </c>
      <c r="Z265">
        <v>4</v>
      </c>
      <c r="AA265">
        <v>0.39800000000000002</v>
      </c>
      <c r="AB265">
        <v>0.38500000000000001</v>
      </c>
      <c r="AC265">
        <v>0.78300000000000003</v>
      </c>
      <c r="AD265">
        <v>41</v>
      </c>
      <c r="AE265">
        <v>0.314</v>
      </c>
      <c r="AF265">
        <v>0</v>
      </c>
      <c r="AG265">
        <f>(표1[[#This Row],[TB]]-표1[[#This Row],[H]])/표1[[#This Row],[AB]]</f>
        <v>8.6330935251798566E-2</v>
      </c>
      <c r="AH265">
        <f>(표1[[#This Row],[TB]]-표1[[#This Row],[H]]+표1[[#This Row],[BB]]+표1[[#This Row],[SB]]-표1[[#This Row],[CS]])/표1[[#This Row],[AB]]</f>
        <v>0.2446043165467626</v>
      </c>
      <c r="AI265">
        <f>(표1[[#This Row],[TB]]+표1[[#This Row],[BB]]+표1[[#This Row],[HBP]]+표1[[#This Row],[SB]]-표1[[#This Row],[CS]])/(표1[[#This Row],[AB]]-표1[[#This Row],[H]]+표1[[#This Row],[CS]]+표1[[#This Row],[GDP]])</f>
        <v>0.78333333333333333</v>
      </c>
      <c r="AJ26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69.349133192389004</v>
      </c>
      <c r="AK265">
        <f>표1[[#This Row],[RC]]/((표1[[#This Row],[AB]]-표1[[#This Row],[H]]+표1[[#This Row],[SAC]]+표1[[#This Row],[SF]]+표1[[#This Row],[CS]]+표1[[#This Row],[GDP]])/27)</f>
        <v>6.1190411640343232</v>
      </c>
      <c r="AL26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0.34780686695278973</v>
      </c>
      <c r="AM26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65.22399999999999</v>
      </c>
    </row>
    <row r="266" spans="1:39" x14ac:dyDescent="0.3">
      <c r="A266" t="str">
        <f>_xlfn.CONCAT(표1[[#This Row],[Year]],표1[[#This Row],[Player]])</f>
        <v>2008전준호</v>
      </c>
      <c r="B266">
        <v>2008</v>
      </c>
      <c r="C266">
        <v>12</v>
      </c>
      <c r="D266" t="s">
        <v>38</v>
      </c>
      <c r="E266" t="s">
        <v>99</v>
      </c>
      <c r="F266">
        <v>0.31</v>
      </c>
      <c r="G266">
        <v>114</v>
      </c>
      <c r="H266">
        <v>391</v>
      </c>
      <c r="I266">
        <v>352</v>
      </c>
      <c r="J266">
        <v>44</v>
      </c>
      <c r="K266">
        <v>109</v>
      </c>
      <c r="L266">
        <f>표1[[#This Row],[H]]-표1[[#This Row],[2B]]-표1[[#This Row],[3B]]-표1[[#This Row],[HR]]</f>
        <v>87</v>
      </c>
      <c r="M266">
        <v>16</v>
      </c>
      <c r="N266">
        <v>5</v>
      </c>
      <c r="O266">
        <v>1</v>
      </c>
      <c r="P266">
        <v>138</v>
      </c>
      <c r="Q266">
        <v>24</v>
      </c>
      <c r="R266">
        <v>1</v>
      </c>
      <c r="S266">
        <v>2</v>
      </c>
      <c r="T266">
        <v>35</v>
      </c>
      <c r="U266">
        <v>2</v>
      </c>
      <c r="V266">
        <v>16</v>
      </c>
      <c r="W266">
        <v>11</v>
      </c>
      <c r="X266">
        <v>1</v>
      </c>
      <c r="Y266">
        <v>41</v>
      </c>
      <c r="Z266">
        <v>5</v>
      </c>
      <c r="AA266">
        <v>0.39200000000000002</v>
      </c>
      <c r="AB266">
        <v>0.372</v>
      </c>
      <c r="AC266">
        <v>0.76400000000000001</v>
      </c>
      <c r="AD266">
        <v>25</v>
      </c>
      <c r="AE266">
        <v>0.26300000000000001</v>
      </c>
      <c r="AF266">
        <v>0.125</v>
      </c>
      <c r="AG266">
        <f>(표1[[#This Row],[TB]]-표1[[#This Row],[H]])/표1[[#This Row],[AB]]</f>
        <v>8.2386363636363633E-2</v>
      </c>
      <c r="AH266">
        <f>(표1[[#This Row],[TB]]-표1[[#This Row],[H]]+표1[[#This Row],[BB]]+표1[[#This Row],[SB]]-표1[[#This Row],[CS]])/표1[[#This Row],[AB]]</f>
        <v>0.19602272727272727</v>
      </c>
      <c r="AI266">
        <f>(표1[[#This Row],[TB]]+표1[[#This Row],[BB]]+표1[[#This Row],[HBP]]+표1[[#This Row],[SB]]-표1[[#This Row],[CS]])/(표1[[#This Row],[AB]]-표1[[#This Row],[H]]+표1[[#This Row],[CS]]+표1[[#This Row],[GDP]])</f>
        <v>0.69111969111969107</v>
      </c>
      <c r="AJ26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51.705575447570332</v>
      </c>
      <c r="AK266">
        <f>표1[[#This Row],[RC]]/((표1[[#This Row],[AB]]-표1[[#This Row],[H]]+표1[[#This Row],[SAC]]+표1[[#This Row],[SF]]+표1[[#This Row],[CS]]+표1[[#This Row],[GDP]])/27)</f>
        <v>5.3284371644442707</v>
      </c>
      <c r="AL26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0.33651546391752574</v>
      </c>
      <c r="AM26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49.811999999999991</v>
      </c>
    </row>
    <row r="267" spans="1:39" x14ac:dyDescent="0.3">
      <c r="A267" t="str">
        <f>_xlfn.CONCAT(표1[[#This Row],[Year]],표1[[#This Row],[Player]])</f>
        <v>2008김동주</v>
      </c>
      <c r="B267">
        <v>2008</v>
      </c>
      <c r="C267">
        <v>13</v>
      </c>
      <c r="D267" t="s">
        <v>0</v>
      </c>
      <c r="E267" t="s">
        <v>1</v>
      </c>
      <c r="F267">
        <v>0.309</v>
      </c>
      <c r="G267">
        <v>109</v>
      </c>
      <c r="H267">
        <v>451</v>
      </c>
      <c r="I267">
        <v>363</v>
      </c>
      <c r="J267">
        <v>55</v>
      </c>
      <c r="K267">
        <v>112</v>
      </c>
      <c r="L267">
        <f>표1[[#This Row],[H]]-표1[[#This Row],[2B]]-표1[[#This Row],[3B]]-표1[[#This Row],[HR]]</f>
        <v>80</v>
      </c>
      <c r="M267">
        <v>12</v>
      </c>
      <c r="N267">
        <v>2</v>
      </c>
      <c r="O267">
        <v>18</v>
      </c>
      <c r="P267">
        <v>182</v>
      </c>
      <c r="Q267">
        <v>104</v>
      </c>
      <c r="R267">
        <v>0</v>
      </c>
      <c r="S267">
        <v>13</v>
      </c>
      <c r="T267">
        <v>63</v>
      </c>
      <c r="U267">
        <v>5</v>
      </c>
      <c r="V267">
        <v>2</v>
      </c>
      <c r="W267">
        <v>2</v>
      </c>
      <c r="X267">
        <v>12</v>
      </c>
      <c r="Y267">
        <v>54</v>
      </c>
      <c r="Z267">
        <v>11</v>
      </c>
      <c r="AA267">
        <v>0.501</v>
      </c>
      <c r="AB267">
        <v>0.41499999999999998</v>
      </c>
      <c r="AC267">
        <v>0.91600000000000004</v>
      </c>
      <c r="AD267">
        <v>30</v>
      </c>
      <c r="AE267">
        <v>0.34599999999999997</v>
      </c>
      <c r="AF267">
        <v>0</v>
      </c>
      <c r="AG267">
        <f>(표1[[#This Row],[TB]]-표1[[#This Row],[H]])/표1[[#This Row],[AB]]</f>
        <v>0.1928374655647383</v>
      </c>
      <c r="AH267">
        <f>(표1[[#This Row],[TB]]-표1[[#This Row],[H]]+표1[[#This Row],[BB]]+표1[[#This Row],[SB]]-표1[[#This Row],[CS]])/표1[[#This Row],[AB]]</f>
        <v>0.36639118457300274</v>
      </c>
      <c r="AI267">
        <f>(표1[[#This Row],[TB]]+표1[[#This Row],[BB]]+표1[[#This Row],[HBP]]+표1[[#This Row],[SB]]-표1[[#This Row],[CS]])/(표1[[#This Row],[AB]]-표1[[#This Row],[H]]+표1[[#This Row],[CS]]+표1[[#This Row],[GDP]])</f>
        <v>0.97348484848484851</v>
      </c>
      <c r="AJ26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80.248337028824835</v>
      </c>
      <c r="AK267">
        <f>표1[[#This Row],[RC]]/((표1[[#This Row],[AB]]-표1[[#This Row],[H]]+표1[[#This Row],[SAC]]+표1[[#This Row],[SF]]+표1[[#This Row],[CS]]+표1[[#This Row],[GDP]])/27)</f>
        <v>7.8220400714016982</v>
      </c>
      <c r="AL26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0.39187443946188344</v>
      </c>
      <c r="AM26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79.127999999999986</v>
      </c>
    </row>
    <row r="268" spans="1:39" x14ac:dyDescent="0.3">
      <c r="A268" t="str">
        <f>_xlfn.CONCAT(표1[[#This Row],[Year]],표1[[#This Row],[Player]])</f>
        <v>2008김원섭</v>
      </c>
      <c r="B268">
        <v>2008</v>
      </c>
      <c r="C268">
        <v>14</v>
      </c>
      <c r="D268" t="s">
        <v>100</v>
      </c>
      <c r="E268" t="s">
        <v>13</v>
      </c>
      <c r="F268">
        <v>0.30499999999999999</v>
      </c>
      <c r="G268">
        <v>106</v>
      </c>
      <c r="H268">
        <v>404</v>
      </c>
      <c r="I268">
        <v>344</v>
      </c>
      <c r="J268">
        <v>55</v>
      </c>
      <c r="K268">
        <v>105</v>
      </c>
      <c r="L268">
        <f>표1[[#This Row],[H]]-표1[[#This Row],[2B]]-표1[[#This Row],[3B]]-표1[[#This Row],[HR]]</f>
        <v>87</v>
      </c>
      <c r="M268">
        <v>14</v>
      </c>
      <c r="N268">
        <v>4</v>
      </c>
      <c r="O268">
        <v>0</v>
      </c>
      <c r="P268">
        <v>127</v>
      </c>
      <c r="Q268">
        <v>30</v>
      </c>
      <c r="R268">
        <v>4</v>
      </c>
      <c r="S268">
        <v>2</v>
      </c>
      <c r="T268">
        <v>51</v>
      </c>
      <c r="U268">
        <v>1</v>
      </c>
      <c r="V268">
        <v>21</v>
      </c>
      <c r="W268">
        <v>8</v>
      </c>
      <c r="X268">
        <v>3</v>
      </c>
      <c r="Y268">
        <v>50</v>
      </c>
      <c r="Z268">
        <v>3</v>
      </c>
      <c r="AA268">
        <v>0.36899999999999999</v>
      </c>
      <c r="AB268">
        <v>0.39800000000000002</v>
      </c>
      <c r="AC268">
        <v>0.76700000000000002</v>
      </c>
      <c r="AD268">
        <v>30</v>
      </c>
      <c r="AE268">
        <v>0.24399999999999999</v>
      </c>
      <c r="AF268">
        <v>0</v>
      </c>
      <c r="AG268">
        <f>(표1[[#This Row],[TB]]-표1[[#This Row],[H]])/표1[[#This Row],[AB]]</f>
        <v>6.3953488372093026E-2</v>
      </c>
      <c r="AH268">
        <f>(표1[[#This Row],[TB]]-표1[[#This Row],[H]]+표1[[#This Row],[BB]]+표1[[#This Row],[SB]]-표1[[#This Row],[CS]])/표1[[#This Row],[AB]]</f>
        <v>0.25</v>
      </c>
      <c r="AI268">
        <f>(표1[[#This Row],[TB]]+표1[[#This Row],[BB]]+표1[[#This Row],[HBP]]+표1[[#This Row],[SB]]-표1[[#This Row],[CS]])/(표1[[#This Row],[AB]]-표1[[#This Row],[H]]+표1[[#This Row],[CS]]+표1[[#This Row],[GDP]])</f>
        <v>0.77600000000000002</v>
      </c>
      <c r="AJ26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56.716237623762375</v>
      </c>
      <c r="AK268">
        <f>표1[[#This Row],[RC]]/((표1[[#This Row],[AB]]-표1[[#This Row],[H]]+표1[[#This Row],[SAC]]+표1[[#This Row],[SF]]+표1[[#This Row],[CS]]+표1[[#This Row],[GDP]])/27)</f>
        <v>5.9817906868811885</v>
      </c>
      <c r="AL26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0.34484711779448618</v>
      </c>
      <c r="AM26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55.109999999999992</v>
      </c>
    </row>
    <row r="269" spans="1:39" x14ac:dyDescent="0.3">
      <c r="A269" t="str">
        <f>_xlfn.CONCAT(표1[[#This Row],[Year]],표1[[#This Row],[Player]])</f>
        <v>2008이종욱</v>
      </c>
      <c r="B269">
        <v>2008</v>
      </c>
      <c r="C269">
        <v>15</v>
      </c>
      <c r="D269" t="s">
        <v>80</v>
      </c>
      <c r="E269" t="s">
        <v>1</v>
      </c>
      <c r="F269">
        <v>0.30099999999999999</v>
      </c>
      <c r="G269">
        <v>122</v>
      </c>
      <c r="H269">
        <v>522</v>
      </c>
      <c r="I269">
        <v>458</v>
      </c>
      <c r="J269">
        <v>98</v>
      </c>
      <c r="K269">
        <v>138</v>
      </c>
      <c r="L269">
        <f>표1[[#This Row],[H]]-표1[[#This Row],[2B]]-표1[[#This Row],[3B]]-표1[[#This Row],[HR]]</f>
        <v>119</v>
      </c>
      <c r="M269">
        <v>14</v>
      </c>
      <c r="N269">
        <v>5</v>
      </c>
      <c r="O269">
        <v>0</v>
      </c>
      <c r="P269">
        <v>162</v>
      </c>
      <c r="Q269">
        <v>28</v>
      </c>
      <c r="R269">
        <v>6</v>
      </c>
      <c r="S269">
        <v>2</v>
      </c>
      <c r="T269">
        <v>52</v>
      </c>
      <c r="U269">
        <v>2</v>
      </c>
      <c r="V269">
        <v>47</v>
      </c>
      <c r="W269">
        <v>8</v>
      </c>
      <c r="X269">
        <v>4</v>
      </c>
      <c r="Y269">
        <v>53</v>
      </c>
      <c r="Z269">
        <v>4</v>
      </c>
      <c r="AA269">
        <v>0.35399999999999998</v>
      </c>
      <c r="AB269">
        <v>0.376</v>
      </c>
      <c r="AC269">
        <v>0.73</v>
      </c>
      <c r="AD269">
        <v>34</v>
      </c>
      <c r="AE269">
        <v>0.23899999999999999</v>
      </c>
      <c r="AF269">
        <v>0</v>
      </c>
      <c r="AG269">
        <f>(표1[[#This Row],[TB]]-표1[[#This Row],[H]])/표1[[#This Row],[AB]]</f>
        <v>5.2401746724890827E-2</v>
      </c>
      <c r="AH269">
        <f>(표1[[#This Row],[TB]]-표1[[#This Row],[H]]+표1[[#This Row],[BB]]+표1[[#This Row],[SB]]-표1[[#This Row],[CS]])/표1[[#This Row],[AB]]</f>
        <v>0.25109170305676853</v>
      </c>
      <c r="AI269">
        <f>(표1[[#This Row],[TB]]+표1[[#This Row],[BB]]+표1[[#This Row],[HBP]]+표1[[#This Row],[SB]]-표1[[#This Row],[CS]])/(표1[[#This Row],[AB]]-표1[[#This Row],[H]]+표1[[#This Row],[CS]]+표1[[#This Row],[GDP]])</f>
        <v>0.77409638554216864</v>
      </c>
      <c r="AJ26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71.349578544061302</v>
      </c>
      <c r="AK269">
        <f>표1[[#This Row],[RC]]/((표1[[#This Row],[AB]]-표1[[#This Row],[H]]+표1[[#This Row],[SAC]]+표1[[#This Row],[SF]]+표1[[#This Row],[CS]]+표1[[#This Row],[GDP]])/27)</f>
        <v>5.6659959432048677</v>
      </c>
      <c r="AL26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0.32723151750972757</v>
      </c>
      <c r="AM26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69.815999999999974</v>
      </c>
    </row>
    <row r="270" spans="1:39" x14ac:dyDescent="0.3">
      <c r="A270" t="str">
        <f>_xlfn.CONCAT(표1[[#This Row],[Year]],표1[[#This Row],[Player]])</f>
        <v>2008이대호</v>
      </c>
      <c r="B270">
        <v>2008</v>
      </c>
      <c r="C270">
        <v>16</v>
      </c>
      <c r="D270" t="s">
        <v>64</v>
      </c>
      <c r="E270" t="s">
        <v>17</v>
      </c>
      <c r="F270">
        <v>0.30099999999999999</v>
      </c>
      <c r="G270">
        <v>122</v>
      </c>
      <c r="H270">
        <v>527</v>
      </c>
      <c r="I270">
        <v>435</v>
      </c>
      <c r="J270">
        <v>73</v>
      </c>
      <c r="K270">
        <v>131</v>
      </c>
      <c r="L270">
        <f>표1[[#This Row],[H]]-표1[[#This Row],[2B]]-표1[[#This Row],[3B]]-표1[[#This Row],[HR]]</f>
        <v>90</v>
      </c>
      <c r="M270">
        <v>23</v>
      </c>
      <c r="N270">
        <v>0</v>
      </c>
      <c r="O270">
        <v>18</v>
      </c>
      <c r="P270">
        <v>208</v>
      </c>
      <c r="Q270">
        <v>94</v>
      </c>
      <c r="R270">
        <v>0</v>
      </c>
      <c r="S270">
        <v>12</v>
      </c>
      <c r="T270">
        <v>62</v>
      </c>
      <c r="U270">
        <v>4</v>
      </c>
      <c r="V270">
        <v>0</v>
      </c>
      <c r="W270">
        <v>1</v>
      </c>
      <c r="X270">
        <v>18</v>
      </c>
      <c r="Y270">
        <v>56</v>
      </c>
      <c r="Z270">
        <v>9</v>
      </c>
      <c r="AA270">
        <v>0.47799999999999998</v>
      </c>
      <c r="AB270">
        <v>0.4</v>
      </c>
      <c r="AC270">
        <v>0.878</v>
      </c>
      <c r="AD270">
        <v>34</v>
      </c>
      <c r="AE270">
        <v>0.30599999999999999</v>
      </c>
      <c r="AF270">
        <v>0</v>
      </c>
      <c r="AG270">
        <f>(표1[[#This Row],[TB]]-표1[[#This Row],[H]])/표1[[#This Row],[AB]]</f>
        <v>0.17701149425287357</v>
      </c>
      <c r="AH270">
        <f>(표1[[#This Row],[TB]]-표1[[#This Row],[H]]+표1[[#This Row],[BB]]+표1[[#This Row],[SB]]-표1[[#This Row],[CS]])/표1[[#This Row],[AB]]</f>
        <v>0.31724137931034485</v>
      </c>
      <c r="AI270">
        <f>(표1[[#This Row],[TB]]+표1[[#This Row],[BB]]+표1[[#This Row],[HBP]]+표1[[#This Row],[SB]]-표1[[#This Row],[CS]])/(표1[[#This Row],[AB]]-표1[[#This Row],[H]]+표1[[#This Row],[CS]]+표1[[#This Row],[GDP]])</f>
        <v>0.9140127388535032</v>
      </c>
      <c r="AJ27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89.248576850094878</v>
      </c>
      <c r="AK270">
        <f>표1[[#This Row],[RC]]/((표1[[#This Row],[AB]]-표1[[#This Row],[H]]+표1[[#This Row],[SAC]]+표1[[#This Row],[SF]]+표1[[#This Row],[CS]]+표1[[#This Row],[GDP]])/27)</f>
        <v>7.3917532974004958</v>
      </c>
      <c r="AL27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0.3797112810707457</v>
      </c>
      <c r="AM27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87.302000000000007</v>
      </c>
    </row>
    <row r="271" spans="1:39" x14ac:dyDescent="0.3">
      <c r="A271" t="str">
        <f>_xlfn.CONCAT(표1[[#This Row],[Year]],표1[[#This Row],[Player]])</f>
        <v>2008안치용</v>
      </c>
      <c r="B271">
        <v>2008</v>
      </c>
      <c r="C271">
        <v>17</v>
      </c>
      <c r="D271" t="s">
        <v>101</v>
      </c>
      <c r="E271" t="s">
        <v>36</v>
      </c>
      <c r="F271">
        <v>0.29499999999999998</v>
      </c>
      <c r="G271">
        <v>101</v>
      </c>
      <c r="H271">
        <v>421</v>
      </c>
      <c r="I271">
        <v>370</v>
      </c>
      <c r="J271">
        <v>46</v>
      </c>
      <c r="K271">
        <v>109</v>
      </c>
      <c r="L271">
        <f>표1[[#This Row],[H]]-표1[[#This Row],[2B]]-표1[[#This Row],[3B]]-표1[[#This Row],[HR]]</f>
        <v>72</v>
      </c>
      <c r="M271">
        <v>27</v>
      </c>
      <c r="N271">
        <v>3</v>
      </c>
      <c r="O271">
        <v>7</v>
      </c>
      <c r="P271">
        <v>163</v>
      </c>
      <c r="Q271">
        <v>52</v>
      </c>
      <c r="R271">
        <v>3</v>
      </c>
      <c r="S271">
        <v>9</v>
      </c>
      <c r="T271">
        <v>39</v>
      </c>
      <c r="U271">
        <v>1</v>
      </c>
      <c r="V271">
        <v>7</v>
      </c>
      <c r="W271">
        <v>2</v>
      </c>
      <c r="X271">
        <v>0</v>
      </c>
      <c r="Y271">
        <v>79</v>
      </c>
      <c r="Z271">
        <v>6</v>
      </c>
      <c r="AA271">
        <v>0.441</v>
      </c>
      <c r="AB271">
        <v>0.35399999999999998</v>
      </c>
      <c r="AC271">
        <v>0.79500000000000004</v>
      </c>
      <c r="AD271">
        <v>34</v>
      </c>
      <c r="AE271">
        <v>0.30099999999999999</v>
      </c>
      <c r="AF271">
        <v>0</v>
      </c>
      <c r="AG271">
        <f>(표1[[#This Row],[TB]]-표1[[#This Row],[H]])/표1[[#This Row],[AB]]</f>
        <v>0.14594594594594595</v>
      </c>
      <c r="AH271">
        <f>(표1[[#This Row],[TB]]-표1[[#This Row],[H]]+표1[[#This Row],[BB]]+표1[[#This Row],[SB]]-표1[[#This Row],[CS]])/표1[[#This Row],[AB]]</f>
        <v>0.26486486486486488</v>
      </c>
      <c r="AI271">
        <f>(표1[[#This Row],[TB]]+표1[[#This Row],[BB]]+표1[[#This Row],[HBP]]+표1[[#This Row],[SB]]-표1[[#This Row],[CS]])/(표1[[#This Row],[AB]]-표1[[#This Row],[H]]+표1[[#This Row],[CS]]+표1[[#This Row],[GDP]])</f>
        <v>0.76951672862453535</v>
      </c>
      <c r="AJ27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60.775296912114008</v>
      </c>
      <c r="AK271">
        <f>표1[[#This Row],[RC]]/((표1[[#This Row],[AB]]-표1[[#This Row],[H]]+표1[[#This Row],[SAC]]+표1[[#This Row],[SF]]+표1[[#This Row],[CS]]+표1[[#This Row],[GDP]])/27)</f>
        <v>5.8396192762529475</v>
      </c>
      <c r="AL27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0.34299760191846523</v>
      </c>
      <c r="AM27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59.538000000000011</v>
      </c>
    </row>
    <row r="272" spans="1:39" x14ac:dyDescent="0.3">
      <c r="A272" t="str">
        <f>_xlfn.CONCAT(표1[[#This Row],[Year]],표1[[#This Row],[Player]])</f>
        <v>2008브룸바</v>
      </c>
      <c r="B272">
        <v>2008</v>
      </c>
      <c r="C272">
        <v>18</v>
      </c>
      <c r="D272" t="s">
        <v>48</v>
      </c>
      <c r="E272" t="s">
        <v>99</v>
      </c>
      <c r="F272">
        <v>0.29299999999999998</v>
      </c>
      <c r="G272">
        <v>102</v>
      </c>
      <c r="H272">
        <v>420</v>
      </c>
      <c r="I272">
        <v>358</v>
      </c>
      <c r="J272">
        <v>39</v>
      </c>
      <c r="K272">
        <v>105</v>
      </c>
      <c r="L272">
        <f>표1[[#This Row],[H]]-표1[[#This Row],[2B]]-표1[[#This Row],[3B]]-표1[[#This Row],[HR]]</f>
        <v>75</v>
      </c>
      <c r="M272">
        <v>17</v>
      </c>
      <c r="N272">
        <v>0</v>
      </c>
      <c r="O272">
        <v>13</v>
      </c>
      <c r="P272">
        <v>161</v>
      </c>
      <c r="Q272">
        <v>61</v>
      </c>
      <c r="R272">
        <v>0</v>
      </c>
      <c r="S272">
        <v>4</v>
      </c>
      <c r="T272">
        <v>56</v>
      </c>
      <c r="U272">
        <v>6</v>
      </c>
      <c r="V272">
        <v>1</v>
      </c>
      <c r="W272">
        <v>1</v>
      </c>
      <c r="X272">
        <v>2</v>
      </c>
      <c r="Y272">
        <v>79</v>
      </c>
      <c r="Z272">
        <v>12</v>
      </c>
      <c r="AA272">
        <v>0.45</v>
      </c>
      <c r="AB272">
        <v>0.38800000000000001</v>
      </c>
      <c r="AC272">
        <v>0.83799999999999997</v>
      </c>
      <c r="AD272">
        <v>25</v>
      </c>
      <c r="AE272">
        <v>0.33300000000000002</v>
      </c>
      <c r="AF272">
        <v>0</v>
      </c>
      <c r="AG272">
        <f>(표1[[#This Row],[TB]]-표1[[#This Row],[H]])/표1[[#This Row],[AB]]</f>
        <v>0.15642458100558659</v>
      </c>
      <c r="AH272">
        <f>(표1[[#This Row],[TB]]-표1[[#This Row],[H]]+표1[[#This Row],[BB]]+표1[[#This Row],[SB]]-표1[[#This Row],[CS]])/표1[[#This Row],[AB]]</f>
        <v>0.31284916201117319</v>
      </c>
      <c r="AI272">
        <f>(표1[[#This Row],[TB]]+표1[[#This Row],[BB]]+표1[[#This Row],[HBP]]+표1[[#This Row],[SB]]-표1[[#This Row],[CS]])/(표1[[#This Row],[AB]]-표1[[#This Row],[H]]+표1[[#This Row],[CS]]+표1[[#This Row],[GDP]])</f>
        <v>0.82330827067669177</v>
      </c>
      <c r="AJ27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63.25714285714286</v>
      </c>
      <c r="AK272">
        <f>표1[[#This Row],[RC]]/((표1[[#This Row],[AB]]-표1[[#This Row],[H]]+표1[[#This Row],[SAC]]+표1[[#This Row],[SF]]+표1[[#This Row],[CS]]+표1[[#This Row],[GDP]])/27)</f>
        <v>6.3257142857142856</v>
      </c>
      <c r="AL27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0.36332608695652174</v>
      </c>
      <c r="AM27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61.138000000000027</v>
      </c>
    </row>
    <row r="273" spans="1:39" x14ac:dyDescent="0.3">
      <c r="A273" t="str">
        <f>_xlfn.CONCAT(표1[[#This Row],[Year]],표1[[#This Row],[Player]])</f>
        <v>2008강민호</v>
      </c>
      <c r="B273">
        <v>2008</v>
      </c>
      <c r="C273">
        <v>19</v>
      </c>
      <c r="D273" t="s">
        <v>83</v>
      </c>
      <c r="E273" t="s">
        <v>17</v>
      </c>
      <c r="F273">
        <v>0.29199999999999998</v>
      </c>
      <c r="G273">
        <v>122</v>
      </c>
      <c r="H273">
        <v>501</v>
      </c>
      <c r="I273">
        <v>435</v>
      </c>
      <c r="J273">
        <v>51</v>
      </c>
      <c r="K273">
        <v>127</v>
      </c>
      <c r="L273">
        <f>표1[[#This Row],[H]]-표1[[#This Row],[2B]]-표1[[#This Row],[3B]]-표1[[#This Row],[HR]]</f>
        <v>82</v>
      </c>
      <c r="M273">
        <v>25</v>
      </c>
      <c r="N273">
        <v>1</v>
      </c>
      <c r="O273">
        <v>19</v>
      </c>
      <c r="P273">
        <v>211</v>
      </c>
      <c r="Q273">
        <v>82</v>
      </c>
      <c r="R273">
        <v>0</v>
      </c>
      <c r="S273">
        <v>10</v>
      </c>
      <c r="T273">
        <v>49</v>
      </c>
      <c r="U273">
        <v>1</v>
      </c>
      <c r="V273">
        <v>2</v>
      </c>
      <c r="W273">
        <v>4</v>
      </c>
      <c r="X273">
        <v>7</v>
      </c>
      <c r="Y273">
        <v>77</v>
      </c>
      <c r="Z273">
        <v>13</v>
      </c>
      <c r="AA273">
        <v>0.48499999999999999</v>
      </c>
      <c r="AB273">
        <v>0.36499999999999999</v>
      </c>
      <c r="AC273">
        <v>0.85</v>
      </c>
      <c r="AD273">
        <v>30</v>
      </c>
      <c r="AE273">
        <v>0.28499999999999998</v>
      </c>
      <c r="AF273">
        <v>0</v>
      </c>
      <c r="AG273">
        <f>(표1[[#This Row],[TB]]-표1[[#This Row],[H]])/표1[[#This Row],[AB]]</f>
        <v>0.19310344827586207</v>
      </c>
      <c r="AH273">
        <f>(표1[[#This Row],[TB]]-표1[[#This Row],[H]]+표1[[#This Row],[BB]]+표1[[#This Row],[SB]]-표1[[#This Row],[CS]])/표1[[#This Row],[AB]]</f>
        <v>0.30114942528735633</v>
      </c>
      <c r="AI273">
        <f>(표1[[#This Row],[TB]]+표1[[#This Row],[BB]]+표1[[#This Row],[HBP]]+표1[[#This Row],[SB]]-표1[[#This Row],[CS]])/(표1[[#This Row],[AB]]-표1[[#This Row],[H]]+표1[[#This Row],[CS]]+표1[[#This Row],[GDP]])</f>
        <v>0.81538461538461537</v>
      </c>
      <c r="AJ27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76.717844311377263</v>
      </c>
      <c r="AK273">
        <f>표1[[#This Row],[RC]]/((표1[[#This Row],[AB]]-표1[[#This Row],[H]]+표1[[#This Row],[SAC]]+표1[[#This Row],[SF]]+표1[[#This Row],[CS]]+표1[[#This Row],[GDP]])/27)</f>
        <v>6.1832292430065259</v>
      </c>
      <c r="AL27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0.36565999999999999</v>
      </c>
      <c r="AM27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75.983999999999995</v>
      </c>
    </row>
    <row r="274" spans="1:39" x14ac:dyDescent="0.3">
      <c r="A274" t="str">
        <f>_xlfn.CONCAT(표1[[#This Row],[Year]],표1[[#This Row],[Player]])</f>
        <v>2008박기혁</v>
      </c>
      <c r="B274">
        <v>2008</v>
      </c>
      <c r="C274">
        <v>20</v>
      </c>
      <c r="D274" t="s">
        <v>102</v>
      </c>
      <c r="E274" t="s">
        <v>17</v>
      </c>
      <c r="F274">
        <v>0.29099999999999998</v>
      </c>
      <c r="G274">
        <v>113</v>
      </c>
      <c r="H274">
        <v>404</v>
      </c>
      <c r="I274">
        <v>351</v>
      </c>
      <c r="J274">
        <v>47</v>
      </c>
      <c r="K274">
        <v>102</v>
      </c>
      <c r="L274">
        <f>표1[[#This Row],[H]]-표1[[#This Row],[2B]]-표1[[#This Row],[3B]]-표1[[#This Row],[HR]]</f>
        <v>87</v>
      </c>
      <c r="M274">
        <v>13</v>
      </c>
      <c r="N274">
        <v>1</v>
      </c>
      <c r="O274">
        <v>1</v>
      </c>
      <c r="P274">
        <v>120</v>
      </c>
      <c r="Q274">
        <v>36</v>
      </c>
      <c r="R274">
        <v>8</v>
      </c>
      <c r="S274">
        <v>3</v>
      </c>
      <c r="T274">
        <v>40</v>
      </c>
      <c r="U274">
        <v>0</v>
      </c>
      <c r="V274">
        <v>16</v>
      </c>
      <c r="W274">
        <v>7</v>
      </c>
      <c r="X274">
        <v>2</v>
      </c>
      <c r="Y274">
        <v>47</v>
      </c>
      <c r="Z274">
        <v>6</v>
      </c>
      <c r="AA274">
        <v>0.34200000000000003</v>
      </c>
      <c r="AB274">
        <v>0.36399999999999999</v>
      </c>
      <c r="AC274">
        <v>0.70599999999999996</v>
      </c>
      <c r="AD274">
        <v>26</v>
      </c>
      <c r="AE274">
        <v>0.24199999999999999</v>
      </c>
      <c r="AF274">
        <v>0</v>
      </c>
      <c r="AG274">
        <f>(표1[[#This Row],[TB]]-표1[[#This Row],[H]])/표1[[#This Row],[AB]]</f>
        <v>5.128205128205128E-2</v>
      </c>
      <c r="AH274">
        <f>(표1[[#This Row],[TB]]-표1[[#This Row],[H]]+표1[[#This Row],[BB]]+표1[[#This Row],[SB]]-표1[[#This Row],[CS]])/표1[[#This Row],[AB]]</f>
        <v>0.19088319088319089</v>
      </c>
      <c r="AI274">
        <f>(표1[[#This Row],[TB]]+표1[[#This Row],[BB]]+표1[[#This Row],[HBP]]+표1[[#This Row],[SB]]-표1[[#This Row],[CS]])/(표1[[#This Row],[AB]]-표1[[#This Row],[H]]+표1[[#This Row],[CS]]+표1[[#This Row],[GDP]])</f>
        <v>0.65267175572519087</v>
      </c>
      <c r="AJ27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47.004356435643558</v>
      </c>
      <c r="AK274">
        <f>표1[[#This Row],[RC]]/((표1[[#This Row],[AB]]-표1[[#This Row],[H]]+표1[[#This Row],[SAC]]+표1[[#This Row],[SF]]+표1[[#This Row],[CS]]+표1[[#This Row],[GDP]])/27)</f>
        <v>4.648782504624088</v>
      </c>
      <c r="AL27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0.31814141414141411</v>
      </c>
      <c r="AM27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46.683999999999997</v>
      </c>
    </row>
    <row r="275" spans="1:39" x14ac:dyDescent="0.3">
      <c r="A275" t="str">
        <f>_xlfn.CONCAT(표1[[#This Row],[Year]],표1[[#This Row],[Player]])</f>
        <v>2008가르시아</v>
      </c>
      <c r="B275">
        <v>2008</v>
      </c>
      <c r="C275">
        <v>21</v>
      </c>
      <c r="D275" t="s">
        <v>103</v>
      </c>
      <c r="E275" t="s">
        <v>17</v>
      </c>
      <c r="F275">
        <v>0.28299999999999997</v>
      </c>
      <c r="G275">
        <v>125</v>
      </c>
      <c r="H275">
        <v>513</v>
      </c>
      <c r="I275">
        <v>460</v>
      </c>
      <c r="J275">
        <v>68</v>
      </c>
      <c r="K275">
        <v>130</v>
      </c>
      <c r="L275">
        <f>표1[[#This Row],[H]]-표1[[#This Row],[2B]]-표1[[#This Row],[3B]]-표1[[#This Row],[HR]]</f>
        <v>73</v>
      </c>
      <c r="M275">
        <v>25</v>
      </c>
      <c r="N275">
        <v>2</v>
      </c>
      <c r="O275">
        <v>30</v>
      </c>
      <c r="P275">
        <v>249</v>
      </c>
      <c r="Q275">
        <v>111</v>
      </c>
      <c r="R275">
        <v>0</v>
      </c>
      <c r="S275">
        <v>2</v>
      </c>
      <c r="T275">
        <v>48</v>
      </c>
      <c r="U275">
        <v>6</v>
      </c>
      <c r="V275">
        <v>2</v>
      </c>
      <c r="W275">
        <v>1</v>
      </c>
      <c r="X275">
        <v>3</v>
      </c>
      <c r="Y275">
        <v>100</v>
      </c>
      <c r="Z275">
        <v>10</v>
      </c>
      <c r="AA275">
        <v>0.54100000000000004</v>
      </c>
      <c r="AB275">
        <v>0.35299999999999998</v>
      </c>
      <c r="AC275">
        <v>0.89400000000000002</v>
      </c>
      <c r="AD275">
        <v>33</v>
      </c>
      <c r="AE275">
        <v>0.33800000000000002</v>
      </c>
      <c r="AF275">
        <v>0.5</v>
      </c>
      <c r="AG275">
        <f>(표1[[#This Row],[TB]]-표1[[#This Row],[H]])/표1[[#This Row],[AB]]</f>
        <v>0.25869565217391305</v>
      </c>
      <c r="AH275">
        <f>(표1[[#This Row],[TB]]-표1[[#This Row],[H]]+표1[[#This Row],[BB]]+표1[[#This Row],[SB]]-표1[[#This Row],[CS]])/표1[[#This Row],[AB]]</f>
        <v>0.36521739130434783</v>
      </c>
      <c r="AI275">
        <f>(표1[[#This Row],[TB]]+표1[[#This Row],[BB]]+표1[[#This Row],[HBP]]+표1[[#This Row],[SB]]-표1[[#This Row],[CS]])/(표1[[#This Row],[AB]]-표1[[#This Row],[H]]+표1[[#This Row],[CS]]+표1[[#This Row],[GDP]])</f>
        <v>0.88269794721407624</v>
      </c>
      <c r="AJ27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87.081091617933723</v>
      </c>
      <c r="AK275">
        <f>표1[[#This Row],[RC]]/((표1[[#This Row],[AB]]-표1[[#This Row],[H]]+표1[[#This Row],[SAC]]+표1[[#This Row],[SF]]+표1[[#This Row],[CS]]+표1[[#This Row],[GDP]])/27)</f>
        <v>6.854779806659506</v>
      </c>
      <c r="AL27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0.37883826429980272</v>
      </c>
      <c r="AM27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83.16</v>
      </c>
    </row>
    <row r="276" spans="1:39" x14ac:dyDescent="0.3">
      <c r="A276" t="str">
        <f>_xlfn.CONCAT(표1[[#This Row],[Year]],표1[[#This Row],[Player]])</f>
        <v>2008송지만</v>
      </c>
      <c r="B276">
        <v>2008</v>
      </c>
      <c r="C276">
        <v>22</v>
      </c>
      <c r="D276" t="s">
        <v>62</v>
      </c>
      <c r="E276" t="s">
        <v>99</v>
      </c>
      <c r="F276">
        <v>0.28000000000000003</v>
      </c>
      <c r="G276">
        <v>118</v>
      </c>
      <c r="H276">
        <v>451</v>
      </c>
      <c r="I276">
        <v>414</v>
      </c>
      <c r="J276">
        <v>48</v>
      </c>
      <c r="K276">
        <v>116</v>
      </c>
      <c r="L276">
        <f>표1[[#This Row],[H]]-표1[[#This Row],[2B]]-표1[[#This Row],[3B]]-표1[[#This Row],[HR]]</f>
        <v>85</v>
      </c>
      <c r="M276">
        <v>18</v>
      </c>
      <c r="N276">
        <v>0</v>
      </c>
      <c r="O276">
        <v>13</v>
      </c>
      <c r="P276">
        <v>173</v>
      </c>
      <c r="Q276">
        <v>62</v>
      </c>
      <c r="R276">
        <v>0</v>
      </c>
      <c r="S276">
        <v>4</v>
      </c>
      <c r="T276">
        <v>28</v>
      </c>
      <c r="U276">
        <v>1</v>
      </c>
      <c r="V276">
        <v>4</v>
      </c>
      <c r="W276">
        <v>5</v>
      </c>
      <c r="X276">
        <v>5</v>
      </c>
      <c r="Y276">
        <v>82</v>
      </c>
      <c r="Z276">
        <v>11</v>
      </c>
      <c r="AA276">
        <v>0.41799999999999998</v>
      </c>
      <c r="AB276">
        <v>0.33</v>
      </c>
      <c r="AC276">
        <v>0.748</v>
      </c>
      <c r="AD276">
        <v>34</v>
      </c>
      <c r="AE276">
        <v>0.32</v>
      </c>
      <c r="AF276">
        <v>0.625</v>
      </c>
      <c r="AG276">
        <f>(표1[[#This Row],[TB]]-표1[[#This Row],[H]])/표1[[#This Row],[AB]]</f>
        <v>0.13768115942028986</v>
      </c>
      <c r="AH276">
        <f>(표1[[#This Row],[TB]]-표1[[#This Row],[H]]+표1[[#This Row],[BB]]+표1[[#This Row],[SB]]-표1[[#This Row],[CS]])/표1[[#This Row],[AB]]</f>
        <v>0.20289855072463769</v>
      </c>
      <c r="AI276">
        <f>(표1[[#This Row],[TB]]+표1[[#This Row],[BB]]+표1[[#This Row],[HBP]]+표1[[#This Row],[SB]]-표1[[#This Row],[CS]])/(표1[[#This Row],[AB]]-표1[[#This Row],[H]]+표1[[#This Row],[CS]]+표1[[#This Row],[GDP]])</f>
        <v>0.65286624203821653</v>
      </c>
      <c r="AJ27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54.698093126385807</v>
      </c>
      <c r="AK276">
        <f>표1[[#This Row],[RC]]/((표1[[#This Row],[AB]]-표1[[#This Row],[H]]+표1[[#This Row],[SAC]]+표1[[#This Row],[SF]]+표1[[#This Row],[CS]]+표1[[#This Row],[GDP]])/27)</f>
        <v>4.6441777182780397</v>
      </c>
      <c r="AL27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0.32619333333333328</v>
      </c>
      <c r="AM27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54.364000000000004</v>
      </c>
    </row>
    <row r="277" spans="1:39" x14ac:dyDescent="0.3">
      <c r="A277" t="str">
        <f>_xlfn.CONCAT(표1[[#This Row],[Year]],표1[[#This Row],[Player]])</f>
        <v>2008박석민</v>
      </c>
      <c r="B277">
        <v>2008</v>
      </c>
      <c r="C277">
        <v>23</v>
      </c>
      <c r="D277" t="s">
        <v>104</v>
      </c>
      <c r="E277" t="s">
        <v>6</v>
      </c>
      <c r="F277">
        <v>0.27900000000000003</v>
      </c>
      <c r="G277">
        <v>126</v>
      </c>
      <c r="H277">
        <v>499</v>
      </c>
      <c r="I277">
        <v>416</v>
      </c>
      <c r="J277">
        <v>65</v>
      </c>
      <c r="K277">
        <v>116</v>
      </c>
      <c r="L277">
        <f>표1[[#This Row],[H]]-표1[[#This Row],[2B]]-표1[[#This Row],[3B]]-표1[[#This Row],[HR]]</f>
        <v>74</v>
      </c>
      <c r="M277">
        <v>27</v>
      </c>
      <c r="N277">
        <v>1</v>
      </c>
      <c r="O277">
        <v>14</v>
      </c>
      <c r="P277">
        <v>187</v>
      </c>
      <c r="Q277">
        <v>64</v>
      </c>
      <c r="R277">
        <v>8</v>
      </c>
      <c r="S277">
        <v>2</v>
      </c>
      <c r="T277">
        <v>61</v>
      </c>
      <c r="U277">
        <v>1</v>
      </c>
      <c r="V277">
        <v>2</v>
      </c>
      <c r="W277">
        <v>3</v>
      </c>
      <c r="X277">
        <v>12</v>
      </c>
      <c r="Y277">
        <v>84</v>
      </c>
      <c r="Z277">
        <v>15</v>
      </c>
      <c r="AA277">
        <v>0.45</v>
      </c>
      <c r="AB277">
        <v>0.38500000000000001</v>
      </c>
      <c r="AC277">
        <v>0.83499999999999996</v>
      </c>
      <c r="AD277">
        <v>29</v>
      </c>
      <c r="AE277">
        <v>0.30099999999999999</v>
      </c>
      <c r="AF277">
        <v>0</v>
      </c>
      <c r="AG277">
        <f>(표1[[#This Row],[TB]]-표1[[#This Row],[H]])/표1[[#This Row],[AB]]</f>
        <v>0.17067307692307693</v>
      </c>
      <c r="AH277">
        <f>(표1[[#This Row],[TB]]-표1[[#This Row],[H]]+표1[[#This Row],[BB]]+표1[[#This Row],[SB]]-표1[[#This Row],[CS]])/표1[[#This Row],[AB]]</f>
        <v>0.31490384615384615</v>
      </c>
      <c r="AI277">
        <f>(표1[[#This Row],[TB]]+표1[[#This Row],[BB]]+표1[[#This Row],[HBP]]+표1[[#This Row],[SB]]-표1[[#This Row],[CS]])/(표1[[#This Row],[AB]]-표1[[#This Row],[H]]+표1[[#This Row],[CS]]+표1[[#This Row],[GDP]])</f>
        <v>0.81446540880503149</v>
      </c>
      <c r="AJ27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72.635591182364735</v>
      </c>
      <c r="AK277">
        <f>표1[[#This Row],[RC]]/((표1[[#This Row],[AB]]-표1[[#This Row],[H]]+표1[[#This Row],[SAC]]+표1[[#This Row],[SF]]+표1[[#This Row],[CS]]+표1[[#This Row],[GDP]])/27)</f>
        <v>5.9791492741580727</v>
      </c>
      <c r="AL27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0.36711020408163259</v>
      </c>
      <c r="AM27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69.608000000000004</v>
      </c>
    </row>
    <row r="278" spans="1:39" x14ac:dyDescent="0.3">
      <c r="A278" t="str">
        <f>_xlfn.CONCAT(표1[[#This Row],[Year]],표1[[#This Row],[Player]])</f>
        <v>2008양준혁</v>
      </c>
      <c r="B278">
        <v>2008</v>
      </c>
      <c r="C278">
        <v>24</v>
      </c>
      <c r="D278" t="s">
        <v>5</v>
      </c>
      <c r="E278" t="s">
        <v>6</v>
      </c>
      <c r="F278">
        <v>0.27800000000000002</v>
      </c>
      <c r="G278">
        <v>114</v>
      </c>
      <c r="H278">
        <v>443</v>
      </c>
      <c r="I278">
        <v>385</v>
      </c>
      <c r="J278">
        <v>49</v>
      </c>
      <c r="K278">
        <v>107</v>
      </c>
      <c r="L278">
        <f>표1[[#This Row],[H]]-표1[[#This Row],[2B]]-표1[[#This Row],[3B]]-표1[[#This Row],[HR]]</f>
        <v>81</v>
      </c>
      <c r="M278">
        <v>16</v>
      </c>
      <c r="N278">
        <v>2</v>
      </c>
      <c r="O278">
        <v>8</v>
      </c>
      <c r="P278">
        <v>151</v>
      </c>
      <c r="Q278">
        <v>49</v>
      </c>
      <c r="R278">
        <v>2</v>
      </c>
      <c r="S278">
        <v>2</v>
      </c>
      <c r="T278">
        <v>46</v>
      </c>
      <c r="U278">
        <v>4</v>
      </c>
      <c r="V278">
        <v>1</v>
      </c>
      <c r="W278">
        <v>1</v>
      </c>
      <c r="X278">
        <v>7</v>
      </c>
      <c r="Y278">
        <v>37</v>
      </c>
      <c r="Z278">
        <v>10</v>
      </c>
      <c r="AA278">
        <v>0.39200000000000002</v>
      </c>
      <c r="AB278">
        <v>0.36399999999999999</v>
      </c>
      <c r="AC278">
        <v>0.75600000000000001</v>
      </c>
      <c r="AD278">
        <v>24</v>
      </c>
      <c r="AE278">
        <v>0.309</v>
      </c>
      <c r="AF278">
        <v>0.25</v>
      </c>
      <c r="AG278">
        <f>(표1[[#This Row],[TB]]-표1[[#This Row],[H]])/표1[[#This Row],[AB]]</f>
        <v>0.11428571428571428</v>
      </c>
      <c r="AH278">
        <f>(표1[[#This Row],[TB]]-표1[[#This Row],[H]]+표1[[#This Row],[BB]]+표1[[#This Row],[SB]]-표1[[#This Row],[CS]])/표1[[#This Row],[AB]]</f>
        <v>0.23376623376623376</v>
      </c>
      <c r="AI278">
        <f>(표1[[#This Row],[TB]]+표1[[#This Row],[BB]]+표1[[#This Row],[HBP]]+표1[[#This Row],[SB]]-표1[[#This Row],[CS]])/(표1[[#This Row],[AB]]-표1[[#This Row],[H]]+표1[[#This Row],[CS]]+표1[[#This Row],[GDP]])</f>
        <v>0.70588235294117652</v>
      </c>
      <c r="AJ27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56.073891402714935</v>
      </c>
      <c r="AK278">
        <f>표1[[#This Row],[RC]]/((표1[[#This Row],[AB]]-표1[[#This Row],[H]]+표1[[#This Row],[SAC]]+표1[[#This Row],[SF]]+표1[[#This Row],[CS]]+표1[[#This Row],[GDP]])/27)</f>
        <v>5.1672186616836289</v>
      </c>
      <c r="AL27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0.33358256880733944</v>
      </c>
      <c r="AM27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54.943999999999996</v>
      </c>
    </row>
    <row r="279" spans="1:39" x14ac:dyDescent="0.3">
      <c r="A279" t="str">
        <f>_xlfn.CONCAT(표1[[#This Row],[Year]],표1[[#This Row],[Player]])</f>
        <v>2008이범호</v>
      </c>
      <c r="B279">
        <v>2008</v>
      </c>
      <c r="C279">
        <v>25</v>
      </c>
      <c r="D279" t="s">
        <v>53</v>
      </c>
      <c r="E279" t="s">
        <v>11</v>
      </c>
      <c r="F279">
        <v>0.27600000000000002</v>
      </c>
      <c r="G279">
        <v>125</v>
      </c>
      <c r="H279">
        <v>508</v>
      </c>
      <c r="I279">
        <v>434</v>
      </c>
      <c r="J279">
        <v>80</v>
      </c>
      <c r="K279">
        <v>120</v>
      </c>
      <c r="L279">
        <f>표1[[#This Row],[H]]-표1[[#This Row],[2B]]-표1[[#This Row],[3B]]-표1[[#This Row],[HR]]</f>
        <v>77</v>
      </c>
      <c r="M279">
        <v>21</v>
      </c>
      <c r="N279">
        <v>3</v>
      </c>
      <c r="O279">
        <v>19</v>
      </c>
      <c r="P279">
        <v>204</v>
      </c>
      <c r="Q279">
        <v>77</v>
      </c>
      <c r="R279">
        <v>0</v>
      </c>
      <c r="S279">
        <v>4</v>
      </c>
      <c r="T279">
        <v>61</v>
      </c>
      <c r="U279">
        <v>0</v>
      </c>
      <c r="V279">
        <v>12</v>
      </c>
      <c r="W279">
        <v>1</v>
      </c>
      <c r="X279">
        <v>9</v>
      </c>
      <c r="Y279">
        <v>50</v>
      </c>
      <c r="Z279">
        <v>18</v>
      </c>
      <c r="AA279">
        <v>0.47</v>
      </c>
      <c r="AB279">
        <v>0.374</v>
      </c>
      <c r="AC279">
        <v>0.84399999999999997</v>
      </c>
      <c r="AD279">
        <v>32</v>
      </c>
      <c r="AE279">
        <v>0.315</v>
      </c>
      <c r="AF279">
        <v>0</v>
      </c>
      <c r="AG279">
        <f>(표1[[#This Row],[TB]]-표1[[#This Row],[H]])/표1[[#This Row],[AB]]</f>
        <v>0.19354838709677419</v>
      </c>
      <c r="AH279">
        <f>(표1[[#This Row],[TB]]-표1[[#This Row],[H]]+표1[[#This Row],[BB]]+표1[[#This Row],[SB]]-표1[[#This Row],[CS]])/표1[[#This Row],[AB]]</f>
        <v>0.35944700460829493</v>
      </c>
      <c r="AI279">
        <f>(표1[[#This Row],[TB]]+표1[[#This Row],[BB]]+표1[[#This Row],[HBP]]+표1[[#This Row],[SB]]-표1[[#This Row],[CS]])/(표1[[#This Row],[AB]]-표1[[#This Row],[H]]+표1[[#This Row],[CS]]+표1[[#This Row],[GDP]])</f>
        <v>0.85585585585585588</v>
      </c>
      <c r="AJ27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77.596299212598424</v>
      </c>
      <c r="AK279">
        <f>표1[[#This Row],[RC]]/((표1[[#This Row],[AB]]-표1[[#This Row],[H]]+표1[[#This Row],[SAC]]+표1[[#This Row],[SF]]+표1[[#This Row],[CS]]+표1[[#This Row],[GDP]])/27)</f>
        <v>6.2169141802378558</v>
      </c>
      <c r="AL27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0.36810039370078734</v>
      </c>
      <c r="AM27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75.899999999999991</v>
      </c>
    </row>
    <row r="280" spans="1:39" x14ac:dyDescent="0.3">
      <c r="A280" t="str">
        <f>_xlfn.CONCAT(표1[[#This Row],[Year]],표1[[#This Row],[Player]])</f>
        <v>2008최형우</v>
      </c>
      <c r="B280">
        <v>2008</v>
      </c>
      <c r="C280">
        <v>26</v>
      </c>
      <c r="D280" t="s">
        <v>105</v>
      </c>
      <c r="E280" t="s">
        <v>6</v>
      </c>
      <c r="F280">
        <v>0.27600000000000002</v>
      </c>
      <c r="G280">
        <v>126</v>
      </c>
      <c r="H280">
        <v>440</v>
      </c>
      <c r="I280">
        <v>384</v>
      </c>
      <c r="J280">
        <v>68</v>
      </c>
      <c r="K280">
        <v>106</v>
      </c>
      <c r="L280">
        <f>표1[[#This Row],[H]]-표1[[#This Row],[2B]]-표1[[#This Row],[3B]]-표1[[#This Row],[HR]]</f>
        <v>63</v>
      </c>
      <c r="M280">
        <v>24</v>
      </c>
      <c r="N280">
        <v>0</v>
      </c>
      <c r="O280">
        <v>19</v>
      </c>
      <c r="P280">
        <v>187</v>
      </c>
      <c r="Q280">
        <v>71</v>
      </c>
      <c r="R280">
        <v>0</v>
      </c>
      <c r="S280">
        <v>2</v>
      </c>
      <c r="T280">
        <v>48</v>
      </c>
      <c r="U280">
        <v>2</v>
      </c>
      <c r="V280">
        <v>3</v>
      </c>
      <c r="W280">
        <v>0</v>
      </c>
      <c r="X280">
        <v>6</v>
      </c>
      <c r="Y280">
        <v>76</v>
      </c>
      <c r="Z280">
        <v>9</v>
      </c>
      <c r="AA280">
        <v>0.48699999999999999</v>
      </c>
      <c r="AB280">
        <v>0.36399999999999999</v>
      </c>
      <c r="AC280">
        <v>0.85099999999999998</v>
      </c>
      <c r="AD280">
        <v>24</v>
      </c>
      <c r="AE280">
        <v>0.33600000000000002</v>
      </c>
      <c r="AF280">
        <v>0.1</v>
      </c>
      <c r="AG280">
        <f>(표1[[#This Row],[TB]]-표1[[#This Row],[H]])/표1[[#This Row],[AB]]</f>
        <v>0.2109375</v>
      </c>
      <c r="AH280">
        <f>(표1[[#This Row],[TB]]-표1[[#This Row],[H]]+표1[[#This Row],[BB]]+표1[[#This Row],[SB]]-표1[[#This Row],[CS]])/표1[[#This Row],[AB]]</f>
        <v>0.34375</v>
      </c>
      <c r="AI280">
        <f>(표1[[#This Row],[TB]]+표1[[#This Row],[BB]]+표1[[#This Row],[HBP]]+표1[[#This Row],[SB]]-표1[[#This Row],[CS]])/(표1[[#This Row],[AB]]-표1[[#This Row],[H]]+표1[[#This Row],[CS]]+표1[[#This Row],[GDP]])</f>
        <v>0.85017421602787457</v>
      </c>
      <c r="AJ28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69.707090909090908</v>
      </c>
      <c r="AK280">
        <f>표1[[#This Row],[RC]]/((표1[[#This Row],[AB]]-표1[[#This Row],[H]]+표1[[#This Row],[SAC]]+표1[[#This Row],[SF]]+표1[[#This Row],[CS]]+표1[[#This Row],[GDP]])/27)</f>
        <v>6.5124271783579735</v>
      </c>
      <c r="AL28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0.36776255707762562</v>
      </c>
      <c r="AM28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66.641999999999996</v>
      </c>
    </row>
    <row r="281" spans="1:39" x14ac:dyDescent="0.3">
      <c r="A281" t="str">
        <f>_xlfn.CONCAT(표1[[#This Row],[Year]],표1[[#This Row],[Player]])</f>
        <v>2008강정호</v>
      </c>
      <c r="B281">
        <v>2008</v>
      </c>
      <c r="C281">
        <v>27</v>
      </c>
      <c r="D281" t="s">
        <v>106</v>
      </c>
      <c r="E281" t="s">
        <v>99</v>
      </c>
      <c r="F281">
        <v>0.27100000000000002</v>
      </c>
      <c r="G281">
        <v>116</v>
      </c>
      <c r="H281">
        <v>408</v>
      </c>
      <c r="I281">
        <v>362</v>
      </c>
      <c r="J281">
        <v>36</v>
      </c>
      <c r="K281">
        <v>98</v>
      </c>
      <c r="L281">
        <f>표1[[#This Row],[H]]-표1[[#This Row],[2B]]-표1[[#This Row],[3B]]-표1[[#This Row],[HR]]</f>
        <v>71</v>
      </c>
      <c r="M281">
        <v>18</v>
      </c>
      <c r="N281">
        <v>1</v>
      </c>
      <c r="O281">
        <v>8</v>
      </c>
      <c r="P281">
        <v>142</v>
      </c>
      <c r="Q281">
        <v>47</v>
      </c>
      <c r="R281">
        <v>7</v>
      </c>
      <c r="S281">
        <v>3</v>
      </c>
      <c r="T281">
        <v>31</v>
      </c>
      <c r="U281">
        <v>1</v>
      </c>
      <c r="V281">
        <v>3</v>
      </c>
      <c r="W281">
        <v>1</v>
      </c>
      <c r="X281">
        <v>5</v>
      </c>
      <c r="Y281">
        <v>65</v>
      </c>
      <c r="Z281">
        <v>12</v>
      </c>
      <c r="AA281">
        <v>0.39200000000000002</v>
      </c>
      <c r="AB281">
        <v>0.33400000000000002</v>
      </c>
      <c r="AC281">
        <v>0.72599999999999998</v>
      </c>
      <c r="AD281">
        <v>24</v>
      </c>
      <c r="AE281">
        <v>0.27600000000000002</v>
      </c>
      <c r="AF281">
        <v>0.33300000000000002</v>
      </c>
      <c r="AG281">
        <f>(표1[[#This Row],[TB]]-표1[[#This Row],[H]])/표1[[#This Row],[AB]]</f>
        <v>0.12154696132596685</v>
      </c>
      <c r="AH281">
        <f>(표1[[#This Row],[TB]]-표1[[#This Row],[H]]+표1[[#This Row],[BB]]+표1[[#This Row],[SB]]-표1[[#This Row],[CS]])/표1[[#This Row],[AB]]</f>
        <v>0.212707182320442</v>
      </c>
      <c r="AI281">
        <f>(표1[[#This Row],[TB]]+표1[[#This Row],[BB]]+표1[[#This Row],[HBP]]+표1[[#This Row],[SB]]-표1[[#This Row],[CS]])/(표1[[#This Row],[AB]]-표1[[#This Row],[H]]+표1[[#This Row],[CS]]+표1[[#This Row],[GDP]])</f>
        <v>0.64981949458483756</v>
      </c>
      <c r="AJ28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46.816323529411761</v>
      </c>
      <c r="AK281">
        <f>표1[[#This Row],[RC]]/((표1[[#This Row],[AB]]-표1[[#This Row],[H]]+표1[[#This Row],[SAC]]+표1[[#This Row],[SF]]+표1[[#This Row],[CS]]+표1[[#This Row],[GDP]])/27)</f>
        <v>4.404323119491699</v>
      </c>
      <c r="AL28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0.31946749999999996</v>
      </c>
      <c r="AM28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46.06</v>
      </c>
    </row>
    <row r="282" spans="1:39" x14ac:dyDescent="0.3">
      <c r="A282" t="str">
        <f>_xlfn.CONCAT(표1[[#This Row],[Year]],표1[[#This Row],[Player]])</f>
        <v>2008정성훈</v>
      </c>
      <c r="B282">
        <v>2008</v>
      </c>
      <c r="C282">
        <v>28</v>
      </c>
      <c r="D282" t="s">
        <v>61</v>
      </c>
      <c r="E282" t="s">
        <v>99</v>
      </c>
      <c r="F282">
        <v>0.27</v>
      </c>
      <c r="G282">
        <v>109</v>
      </c>
      <c r="H282">
        <v>399</v>
      </c>
      <c r="I282">
        <v>355</v>
      </c>
      <c r="J282">
        <v>43</v>
      </c>
      <c r="K282">
        <v>96</v>
      </c>
      <c r="L282">
        <f>표1[[#This Row],[H]]-표1[[#This Row],[2B]]-표1[[#This Row],[3B]]-표1[[#This Row],[HR]]</f>
        <v>70</v>
      </c>
      <c r="M282">
        <v>21</v>
      </c>
      <c r="N282">
        <v>2</v>
      </c>
      <c r="O282">
        <v>3</v>
      </c>
      <c r="P282">
        <v>130</v>
      </c>
      <c r="Q282">
        <v>34</v>
      </c>
      <c r="R282">
        <v>2</v>
      </c>
      <c r="S282">
        <v>1</v>
      </c>
      <c r="T282">
        <v>36</v>
      </c>
      <c r="U282">
        <v>1</v>
      </c>
      <c r="V282">
        <v>8</v>
      </c>
      <c r="W282">
        <v>4</v>
      </c>
      <c r="X282">
        <v>5</v>
      </c>
      <c r="Y282">
        <v>41</v>
      </c>
      <c r="Z282">
        <v>13</v>
      </c>
      <c r="AA282">
        <v>0.36599999999999999</v>
      </c>
      <c r="AB282">
        <v>0.34499999999999997</v>
      </c>
      <c r="AC282">
        <v>0.71099999999999997</v>
      </c>
      <c r="AD282">
        <v>21</v>
      </c>
      <c r="AE282">
        <v>0.29899999999999999</v>
      </c>
      <c r="AF282">
        <v>0.222</v>
      </c>
      <c r="AG282">
        <f>(표1[[#This Row],[TB]]-표1[[#This Row],[H]])/표1[[#This Row],[AB]]</f>
        <v>9.5774647887323941E-2</v>
      </c>
      <c r="AH282">
        <f>(표1[[#This Row],[TB]]-표1[[#This Row],[H]]+표1[[#This Row],[BB]]+표1[[#This Row],[SB]]-표1[[#This Row],[CS]])/표1[[#This Row],[AB]]</f>
        <v>0.20845070422535211</v>
      </c>
      <c r="AI282">
        <f>(표1[[#This Row],[TB]]+표1[[#This Row],[BB]]+표1[[#This Row],[HBP]]+표1[[#This Row],[SB]]-표1[[#This Row],[CS]])/(표1[[#This Row],[AB]]-표1[[#This Row],[H]]+표1[[#This Row],[CS]]+표1[[#This Row],[GDP]])</f>
        <v>0.63405797101449279</v>
      </c>
      <c r="AJ28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43.945864661654142</v>
      </c>
      <c r="AK282">
        <f>표1[[#This Row],[RC]]/((표1[[#This Row],[AB]]-표1[[#This Row],[H]]+표1[[#This Row],[SAC]]+표1[[#This Row],[SF]]+표1[[#This Row],[CS]]+표1[[#This Row],[GDP]])/27)</f>
        <v>4.2528256124181425</v>
      </c>
      <c r="AL28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0.31674747474747478</v>
      </c>
      <c r="AM28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42.531999999999989</v>
      </c>
    </row>
    <row r="283" spans="1:39" x14ac:dyDescent="0.3">
      <c r="A283" t="str">
        <f>_xlfn.CONCAT(표1[[#This Row],[Year]],표1[[#This Row],[Player]])</f>
        <v>2008고영민</v>
      </c>
      <c r="B283">
        <v>2008</v>
      </c>
      <c r="C283">
        <v>29</v>
      </c>
      <c r="D283" t="s">
        <v>91</v>
      </c>
      <c r="E283" t="s">
        <v>1</v>
      </c>
      <c r="F283">
        <v>0.26700000000000002</v>
      </c>
      <c r="G283">
        <v>126</v>
      </c>
      <c r="H283">
        <v>528</v>
      </c>
      <c r="I283">
        <v>427</v>
      </c>
      <c r="J283">
        <v>84</v>
      </c>
      <c r="K283">
        <v>114</v>
      </c>
      <c r="L283">
        <f>표1[[#This Row],[H]]-표1[[#This Row],[2B]]-표1[[#This Row],[3B]]-표1[[#This Row],[HR]]</f>
        <v>87</v>
      </c>
      <c r="M283">
        <v>15</v>
      </c>
      <c r="N283">
        <v>3</v>
      </c>
      <c r="O283">
        <v>9</v>
      </c>
      <c r="P283">
        <v>162</v>
      </c>
      <c r="Q283">
        <v>70</v>
      </c>
      <c r="R283">
        <v>7</v>
      </c>
      <c r="S283">
        <v>6</v>
      </c>
      <c r="T283">
        <v>74</v>
      </c>
      <c r="U283">
        <v>0</v>
      </c>
      <c r="V283">
        <v>39</v>
      </c>
      <c r="W283">
        <v>9</v>
      </c>
      <c r="X283">
        <v>14</v>
      </c>
      <c r="Y283">
        <v>109</v>
      </c>
      <c r="Z283">
        <v>10</v>
      </c>
      <c r="AA283">
        <v>0.379</v>
      </c>
      <c r="AB283">
        <v>0.38800000000000001</v>
      </c>
      <c r="AC283">
        <v>0.76700000000000002</v>
      </c>
      <c r="AD283">
        <v>29</v>
      </c>
      <c r="AE283">
        <v>0.311</v>
      </c>
      <c r="AF283">
        <v>0</v>
      </c>
      <c r="AG283">
        <f>(표1[[#This Row],[TB]]-표1[[#This Row],[H]])/표1[[#This Row],[AB]]</f>
        <v>0.11241217798594848</v>
      </c>
      <c r="AH283">
        <f>(표1[[#This Row],[TB]]-표1[[#This Row],[H]]+표1[[#This Row],[BB]]+표1[[#This Row],[SB]]-표1[[#This Row],[CS]])/표1[[#This Row],[AB]]</f>
        <v>0.35597189695550352</v>
      </c>
      <c r="AI283">
        <f>(표1[[#This Row],[TB]]+표1[[#This Row],[BB]]+표1[[#This Row],[HBP]]+표1[[#This Row],[SB]]-표1[[#This Row],[CS]])/(표1[[#This Row],[AB]]-표1[[#This Row],[H]]+표1[[#This Row],[CS]]+표1[[#This Row],[GDP]])</f>
        <v>0.84337349397590367</v>
      </c>
      <c r="AJ28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73.449545454545458</v>
      </c>
      <c r="AK283">
        <f>표1[[#This Row],[RC]]/((표1[[#This Row],[AB]]-표1[[#This Row],[H]]+표1[[#This Row],[SAC]]+표1[[#This Row],[SF]]+표1[[#This Row],[CS]]+표1[[#This Row],[GDP]])/27)</f>
        <v>5.7482252964426879</v>
      </c>
      <c r="AL28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0.34607677543186172</v>
      </c>
      <c r="AM28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74.197999999999993</v>
      </c>
    </row>
    <row r="284" spans="1:39" x14ac:dyDescent="0.3">
      <c r="A284" t="str">
        <f>_xlfn.CONCAT(표1[[#This Row],[Year]],표1[[#This Row],[Player]])</f>
        <v>2008김태완</v>
      </c>
      <c r="B284">
        <v>2008</v>
      </c>
      <c r="C284">
        <v>30</v>
      </c>
      <c r="D284" t="s">
        <v>107</v>
      </c>
      <c r="E284" t="s">
        <v>11</v>
      </c>
      <c r="F284">
        <v>0.26600000000000001</v>
      </c>
      <c r="G284">
        <v>124</v>
      </c>
      <c r="H284">
        <v>450</v>
      </c>
      <c r="I284">
        <v>383</v>
      </c>
      <c r="J284">
        <v>44</v>
      </c>
      <c r="K284">
        <v>102</v>
      </c>
      <c r="L284">
        <f>표1[[#This Row],[H]]-표1[[#This Row],[2B]]-표1[[#This Row],[3B]]-표1[[#This Row],[HR]]</f>
        <v>63</v>
      </c>
      <c r="M284">
        <v>16</v>
      </c>
      <c r="N284">
        <v>0</v>
      </c>
      <c r="O284">
        <v>23</v>
      </c>
      <c r="P284">
        <v>187</v>
      </c>
      <c r="Q284">
        <v>73</v>
      </c>
      <c r="R284">
        <v>0</v>
      </c>
      <c r="S284">
        <v>6</v>
      </c>
      <c r="T284">
        <v>50</v>
      </c>
      <c r="U284">
        <v>4</v>
      </c>
      <c r="V284">
        <v>0</v>
      </c>
      <c r="W284">
        <v>1</v>
      </c>
      <c r="X284">
        <v>11</v>
      </c>
      <c r="Y284">
        <v>78</v>
      </c>
      <c r="Z284">
        <v>9</v>
      </c>
      <c r="AA284">
        <v>0.48799999999999999</v>
      </c>
      <c r="AB284">
        <v>0.36199999999999999</v>
      </c>
      <c r="AC284">
        <v>0.85</v>
      </c>
      <c r="AD284">
        <v>26</v>
      </c>
      <c r="AE284">
        <v>0.26900000000000002</v>
      </c>
      <c r="AF284">
        <v>0.154</v>
      </c>
      <c r="AG284">
        <f>(표1[[#This Row],[TB]]-표1[[#This Row],[H]])/표1[[#This Row],[AB]]</f>
        <v>0.22193211488250653</v>
      </c>
      <c r="AH284">
        <f>(표1[[#This Row],[TB]]-표1[[#This Row],[H]]+표1[[#This Row],[BB]]+표1[[#This Row],[SB]]-표1[[#This Row],[CS]])/표1[[#This Row],[AB]]</f>
        <v>0.34986945169712796</v>
      </c>
      <c r="AI284">
        <f>(표1[[#This Row],[TB]]+표1[[#This Row],[BB]]+표1[[#This Row],[HBP]]+표1[[#This Row],[SB]]-표1[[#This Row],[CS]])/(표1[[#This Row],[AB]]-표1[[#This Row],[H]]+표1[[#This Row],[CS]]+표1[[#This Row],[GDP]])</f>
        <v>0.84879725085910651</v>
      </c>
      <c r="AJ28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69.679599999999994</v>
      </c>
      <c r="AK284">
        <f>표1[[#This Row],[RC]]/((표1[[#This Row],[AB]]-표1[[#This Row],[H]]+표1[[#This Row],[SAC]]+표1[[#This Row],[SF]]+표1[[#This Row],[CS]]+표1[[#This Row],[GDP]])/27)</f>
        <v>6.3345090909090906</v>
      </c>
      <c r="AL28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0.3651704035874439</v>
      </c>
      <c r="AM28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69.175999999999988</v>
      </c>
    </row>
    <row r="285" spans="1:39" x14ac:dyDescent="0.3">
      <c r="A285" t="str">
        <f>_xlfn.CONCAT(표1[[#This Row],[Year]],표1[[#This Row],[Player]])</f>
        <v>2008최동수</v>
      </c>
      <c r="B285">
        <v>2008</v>
      </c>
      <c r="C285">
        <v>31</v>
      </c>
      <c r="D285" t="s">
        <v>63</v>
      </c>
      <c r="E285" t="s">
        <v>36</v>
      </c>
      <c r="F285">
        <v>0.26500000000000001</v>
      </c>
      <c r="G285">
        <v>110</v>
      </c>
      <c r="H285">
        <v>431</v>
      </c>
      <c r="I285">
        <v>381</v>
      </c>
      <c r="J285">
        <v>32</v>
      </c>
      <c r="K285">
        <v>101</v>
      </c>
      <c r="L285">
        <f>표1[[#This Row],[H]]-표1[[#This Row],[2B]]-표1[[#This Row],[3B]]-표1[[#This Row],[HR]]</f>
        <v>72</v>
      </c>
      <c r="M285">
        <v>15</v>
      </c>
      <c r="N285">
        <v>0</v>
      </c>
      <c r="O285">
        <v>14</v>
      </c>
      <c r="P285">
        <v>158</v>
      </c>
      <c r="Q285">
        <v>62</v>
      </c>
      <c r="R285">
        <v>5</v>
      </c>
      <c r="S285">
        <v>5</v>
      </c>
      <c r="T285">
        <v>31</v>
      </c>
      <c r="U285">
        <v>1</v>
      </c>
      <c r="V285">
        <v>0</v>
      </c>
      <c r="W285">
        <v>3</v>
      </c>
      <c r="X285">
        <v>9</v>
      </c>
      <c r="Y285">
        <v>62</v>
      </c>
      <c r="Z285">
        <v>16</v>
      </c>
      <c r="AA285">
        <v>0.41499999999999998</v>
      </c>
      <c r="AB285">
        <v>0.33100000000000002</v>
      </c>
      <c r="AC285">
        <v>0.746</v>
      </c>
      <c r="AD285">
        <v>23</v>
      </c>
      <c r="AE285">
        <v>0.27300000000000002</v>
      </c>
      <c r="AF285">
        <v>1</v>
      </c>
      <c r="AG285">
        <f>(표1[[#This Row],[TB]]-표1[[#This Row],[H]])/표1[[#This Row],[AB]]</f>
        <v>0.14960629921259844</v>
      </c>
      <c r="AH285">
        <f>(표1[[#This Row],[TB]]-표1[[#This Row],[H]]+표1[[#This Row],[BB]]+표1[[#This Row],[SB]]-표1[[#This Row],[CS]])/표1[[#This Row],[AB]]</f>
        <v>0.2230971128608924</v>
      </c>
      <c r="AI285">
        <f>(표1[[#This Row],[TB]]+표1[[#This Row],[BB]]+표1[[#This Row],[HBP]]+표1[[#This Row],[SB]]-표1[[#This Row],[CS]])/(표1[[#This Row],[AB]]-표1[[#This Row],[H]]+표1[[#This Row],[CS]]+표1[[#This Row],[GDP]])</f>
        <v>0.65217391304347827</v>
      </c>
      <c r="AJ28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49.066078886310898</v>
      </c>
      <c r="AK285">
        <f>표1[[#This Row],[RC]]/((표1[[#This Row],[AB]]-표1[[#This Row],[H]]+표1[[#This Row],[SAC]]+표1[[#This Row],[SF]]+표1[[#This Row],[CS]]+표1[[#This Row],[GDP]])/27)</f>
        <v>4.2873272813281362</v>
      </c>
      <c r="AL28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0.32598352941176473</v>
      </c>
      <c r="AM28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49.944000000000003</v>
      </c>
    </row>
    <row r="286" spans="1:39" x14ac:dyDescent="0.3">
      <c r="A286" t="str">
        <f>_xlfn.CONCAT(표1[[#This Row],[Year]],표1[[#This Row],[Player]])</f>
        <v>2008이대형</v>
      </c>
      <c r="B286">
        <v>2008</v>
      </c>
      <c r="C286">
        <v>32</v>
      </c>
      <c r="D286" t="s">
        <v>87</v>
      </c>
      <c r="E286" t="s">
        <v>36</v>
      </c>
      <c r="F286">
        <v>0.26400000000000001</v>
      </c>
      <c r="G286">
        <v>126</v>
      </c>
      <c r="H286">
        <v>574</v>
      </c>
      <c r="I286">
        <v>523</v>
      </c>
      <c r="J286">
        <v>71</v>
      </c>
      <c r="K286">
        <v>138</v>
      </c>
      <c r="L286">
        <f>표1[[#This Row],[H]]-표1[[#This Row],[2B]]-표1[[#This Row],[3B]]-표1[[#This Row],[HR]]</f>
        <v>131</v>
      </c>
      <c r="M286">
        <v>5</v>
      </c>
      <c r="N286">
        <v>2</v>
      </c>
      <c r="O286">
        <v>0</v>
      </c>
      <c r="P286">
        <v>147</v>
      </c>
      <c r="Q286">
        <v>33</v>
      </c>
      <c r="R286">
        <v>9</v>
      </c>
      <c r="S286">
        <v>1</v>
      </c>
      <c r="T286">
        <v>39</v>
      </c>
      <c r="U286">
        <v>1</v>
      </c>
      <c r="V286">
        <v>63</v>
      </c>
      <c r="W286">
        <v>15</v>
      </c>
      <c r="X286">
        <v>2</v>
      </c>
      <c r="Y286">
        <v>80</v>
      </c>
      <c r="Z286">
        <v>3</v>
      </c>
      <c r="AA286">
        <v>0.28100000000000003</v>
      </c>
      <c r="AB286">
        <v>0.317</v>
      </c>
      <c r="AC286">
        <v>0.59799999999999998</v>
      </c>
      <c r="AD286">
        <v>35</v>
      </c>
      <c r="AE286">
        <v>0.29799999999999999</v>
      </c>
      <c r="AF286">
        <v>0</v>
      </c>
      <c r="AG286">
        <f>(표1[[#This Row],[TB]]-표1[[#This Row],[H]])/표1[[#This Row],[AB]]</f>
        <v>1.7208413001912046E-2</v>
      </c>
      <c r="AH286">
        <f>(표1[[#This Row],[TB]]-표1[[#This Row],[H]]+표1[[#This Row],[BB]]+표1[[#This Row],[SB]]-표1[[#This Row],[CS]])/표1[[#This Row],[AB]]</f>
        <v>0.1835564053537285</v>
      </c>
      <c r="AI286">
        <f>(표1[[#This Row],[TB]]+표1[[#This Row],[BB]]+표1[[#This Row],[HBP]]+표1[[#This Row],[SB]]-표1[[#This Row],[CS]])/(표1[[#This Row],[AB]]-표1[[#This Row],[H]]+표1[[#This Row],[CS]]+표1[[#This Row],[GDP]])</f>
        <v>0.5856079404466501</v>
      </c>
      <c r="AJ28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54.796097560975618</v>
      </c>
      <c r="AK286">
        <f>표1[[#This Row],[RC]]/((표1[[#This Row],[AB]]-표1[[#This Row],[H]]+표1[[#This Row],[SAC]]+표1[[#This Row],[SF]]+표1[[#This Row],[CS]]+표1[[#This Row],[GDP]])/27)</f>
        <v>3.5823114628240718</v>
      </c>
      <c r="AL28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0.27123581560283688</v>
      </c>
      <c r="AM28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55.899999999999984</v>
      </c>
    </row>
    <row r="287" spans="1:39" x14ac:dyDescent="0.3">
      <c r="A287" t="str">
        <f>_xlfn.CONCAT(표1[[#This Row],[Year]],표1[[#This Row],[Player]])</f>
        <v>2008박경수</v>
      </c>
      <c r="B287">
        <v>2008</v>
      </c>
      <c r="C287">
        <v>33</v>
      </c>
      <c r="D287" t="s">
        <v>108</v>
      </c>
      <c r="E287" t="s">
        <v>36</v>
      </c>
      <c r="F287">
        <v>0.25900000000000001</v>
      </c>
      <c r="G287">
        <v>116</v>
      </c>
      <c r="H287">
        <v>444</v>
      </c>
      <c r="I287">
        <v>367</v>
      </c>
      <c r="J287">
        <v>46</v>
      </c>
      <c r="K287">
        <v>95</v>
      </c>
      <c r="L287">
        <f>표1[[#This Row],[H]]-표1[[#This Row],[2B]]-표1[[#This Row],[3B]]-표1[[#This Row],[HR]]</f>
        <v>75</v>
      </c>
      <c r="M287">
        <v>11</v>
      </c>
      <c r="N287">
        <v>1</v>
      </c>
      <c r="O287">
        <v>8</v>
      </c>
      <c r="P287">
        <v>132</v>
      </c>
      <c r="Q287">
        <v>43</v>
      </c>
      <c r="R287">
        <v>23</v>
      </c>
      <c r="S287">
        <v>10</v>
      </c>
      <c r="T287">
        <v>37</v>
      </c>
      <c r="U287">
        <v>0</v>
      </c>
      <c r="V287">
        <v>6</v>
      </c>
      <c r="W287">
        <v>5</v>
      </c>
      <c r="X287">
        <v>7</v>
      </c>
      <c r="Y287">
        <v>65</v>
      </c>
      <c r="Z287">
        <v>13</v>
      </c>
      <c r="AA287">
        <v>0.36</v>
      </c>
      <c r="AB287">
        <v>0.33</v>
      </c>
      <c r="AC287">
        <v>0.69</v>
      </c>
      <c r="AD287">
        <v>19</v>
      </c>
      <c r="AE287">
        <v>0.253</v>
      </c>
      <c r="AF287">
        <v>1</v>
      </c>
      <c r="AG287">
        <f>(표1[[#This Row],[TB]]-표1[[#This Row],[H]])/표1[[#This Row],[AB]]</f>
        <v>0.1008174386920981</v>
      </c>
      <c r="AH287">
        <f>(표1[[#This Row],[TB]]-표1[[#This Row],[H]]+표1[[#This Row],[BB]]+표1[[#This Row],[SB]]-표1[[#This Row],[CS]])/표1[[#This Row],[AB]]</f>
        <v>0.20435967302452315</v>
      </c>
      <c r="AI287">
        <f>(표1[[#This Row],[TB]]+표1[[#This Row],[BB]]+표1[[#This Row],[HBP]]+표1[[#This Row],[SB]]-표1[[#This Row],[CS]])/(표1[[#This Row],[AB]]-표1[[#This Row],[H]]+표1[[#This Row],[CS]]+표1[[#This Row],[GDP]])</f>
        <v>0.6103448275862069</v>
      </c>
      <c r="AJ28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44.617387387387382</v>
      </c>
      <c r="AK287">
        <f>표1[[#This Row],[RC]]/((표1[[#This Row],[AB]]-표1[[#This Row],[H]]+표1[[#This Row],[SAC]]+표1[[#This Row],[SF]]+표1[[#This Row],[CS]]+표1[[#This Row],[GDP]])/27)</f>
        <v>3.72962680947201</v>
      </c>
      <c r="AL28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0.30595011876484562</v>
      </c>
      <c r="AM28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47.230000000000011</v>
      </c>
    </row>
    <row r="288" spans="1:39" x14ac:dyDescent="0.3">
      <c r="A288" t="str">
        <f>_xlfn.CONCAT(표1[[#This Row],[Year]],표1[[#This Row],[Player]])</f>
        <v>2008이현곤</v>
      </c>
      <c r="B288">
        <v>2008</v>
      </c>
      <c r="C288">
        <v>34</v>
      </c>
      <c r="D288" t="s">
        <v>85</v>
      </c>
      <c r="E288" t="s">
        <v>13</v>
      </c>
      <c r="F288">
        <v>0.25700000000000001</v>
      </c>
      <c r="G288">
        <v>112</v>
      </c>
      <c r="H288">
        <v>435</v>
      </c>
      <c r="I288">
        <v>393</v>
      </c>
      <c r="J288">
        <v>33</v>
      </c>
      <c r="K288">
        <v>101</v>
      </c>
      <c r="L288">
        <f>표1[[#This Row],[H]]-표1[[#This Row],[2B]]-표1[[#This Row],[3B]]-표1[[#This Row],[HR]]</f>
        <v>78</v>
      </c>
      <c r="M288">
        <v>19</v>
      </c>
      <c r="N288">
        <v>2</v>
      </c>
      <c r="O288">
        <v>2</v>
      </c>
      <c r="P288">
        <v>130</v>
      </c>
      <c r="Q288">
        <v>40</v>
      </c>
      <c r="R288">
        <v>4</v>
      </c>
      <c r="S288">
        <v>4</v>
      </c>
      <c r="T288">
        <v>30</v>
      </c>
      <c r="U288">
        <v>1</v>
      </c>
      <c r="V288">
        <v>5</v>
      </c>
      <c r="W288">
        <v>5</v>
      </c>
      <c r="X288">
        <v>3</v>
      </c>
      <c r="Y288">
        <v>51</v>
      </c>
      <c r="Z288">
        <v>12</v>
      </c>
      <c r="AA288">
        <v>0.33100000000000002</v>
      </c>
      <c r="AB288">
        <v>0.312</v>
      </c>
      <c r="AC288">
        <v>0.64300000000000002</v>
      </c>
      <c r="AD288">
        <v>25</v>
      </c>
      <c r="AE288">
        <v>0.29399999999999998</v>
      </c>
      <c r="AF288">
        <v>0</v>
      </c>
      <c r="AG288">
        <f>(표1[[#This Row],[TB]]-표1[[#This Row],[H]])/표1[[#This Row],[AB]]</f>
        <v>7.3791348600508899E-2</v>
      </c>
      <c r="AH288">
        <f>(표1[[#This Row],[TB]]-표1[[#This Row],[H]]+표1[[#This Row],[BB]]+표1[[#This Row],[SB]]-표1[[#This Row],[CS]])/표1[[#This Row],[AB]]</f>
        <v>0.15012722646310434</v>
      </c>
      <c r="AI288">
        <f>(표1[[#This Row],[TB]]+표1[[#This Row],[BB]]+표1[[#This Row],[HBP]]+표1[[#This Row],[SB]]-표1[[#This Row],[CS]])/(표1[[#This Row],[AB]]-표1[[#This Row],[H]]+표1[[#This Row],[CS]]+표1[[#This Row],[GDP]])</f>
        <v>0.52750809061488668</v>
      </c>
      <c r="AJ28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39.111428571428561</v>
      </c>
      <c r="AK288">
        <f>표1[[#This Row],[RC]]/((표1[[#This Row],[AB]]-표1[[#This Row],[H]]+표1[[#This Row],[SAC]]+표1[[#This Row],[SF]]+표1[[#This Row],[CS]]+표1[[#This Row],[GDP]])/27)</f>
        <v>3.3312573231185212</v>
      </c>
      <c r="AL28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0.28517948717948716</v>
      </c>
      <c r="AM28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38.582000000000001</v>
      </c>
    </row>
    <row r="289" spans="1:39" x14ac:dyDescent="0.3">
      <c r="A289" t="str">
        <f>_xlfn.CONCAT(표1[[#This Row],[Year]],표1[[#This Row],[Player]])</f>
        <v>2008나주환</v>
      </c>
      <c r="B289">
        <v>2008</v>
      </c>
      <c r="C289">
        <v>35</v>
      </c>
      <c r="D289" t="s">
        <v>109</v>
      </c>
      <c r="E289" t="s">
        <v>8</v>
      </c>
      <c r="F289">
        <v>0.247</v>
      </c>
      <c r="G289">
        <v>118</v>
      </c>
      <c r="H289">
        <v>413</v>
      </c>
      <c r="I289">
        <v>361</v>
      </c>
      <c r="J289">
        <v>43</v>
      </c>
      <c r="K289">
        <v>89</v>
      </c>
      <c r="L289">
        <f>표1[[#This Row],[H]]-표1[[#This Row],[2B]]-표1[[#This Row],[3B]]-표1[[#This Row],[HR]]</f>
        <v>67</v>
      </c>
      <c r="M289">
        <v>16</v>
      </c>
      <c r="N289">
        <v>3</v>
      </c>
      <c r="O289">
        <v>3</v>
      </c>
      <c r="P289">
        <v>120</v>
      </c>
      <c r="Q289">
        <v>46</v>
      </c>
      <c r="R289">
        <v>13</v>
      </c>
      <c r="S289">
        <v>7</v>
      </c>
      <c r="T289">
        <v>26</v>
      </c>
      <c r="U289">
        <v>0</v>
      </c>
      <c r="V289">
        <v>14</v>
      </c>
      <c r="W289">
        <v>5</v>
      </c>
      <c r="X289">
        <v>6</v>
      </c>
      <c r="Y289">
        <v>64</v>
      </c>
      <c r="Z289">
        <v>12</v>
      </c>
      <c r="AA289">
        <v>0.33200000000000002</v>
      </c>
      <c r="AB289">
        <v>0.30299999999999999</v>
      </c>
      <c r="AC289">
        <v>0.63500000000000001</v>
      </c>
      <c r="AD289">
        <v>20</v>
      </c>
      <c r="AE289">
        <v>0.26700000000000002</v>
      </c>
      <c r="AF289">
        <v>0</v>
      </c>
      <c r="AG289">
        <f>(표1[[#This Row],[TB]]-표1[[#This Row],[H]])/표1[[#This Row],[AB]]</f>
        <v>8.5872576177285317E-2</v>
      </c>
      <c r="AH289">
        <f>(표1[[#This Row],[TB]]-표1[[#This Row],[H]]+표1[[#This Row],[BB]]+표1[[#This Row],[SB]]-표1[[#This Row],[CS]])/표1[[#This Row],[AB]]</f>
        <v>0.18282548476454294</v>
      </c>
      <c r="AI289">
        <f>(표1[[#This Row],[TB]]+표1[[#This Row],[BB]]+표1[[#This Row],[HBP]]+표1[[#This Row],[SB]]-표1[[#This Row],[CS]])/(표1[[#This Row],[AB]]-표1[[#This Row],[H]]+표1[[#This Row],[CS]]+표1[[#This Row],[GDP]])</f>
        <v>0.55709342560553632</v>
      </c>
      <c r="AJ28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36.765133171912836</v>
      </c>
      <c r="AK289">
        <f>표1[[#This Row],[RC]]/((표1[[#This Row],[AB]]-표1[[#This Row],[H]]+표1[[#This Row],[SAC]]+표1[[#This Row],[SF]]+표1[[#This Row],[CS]]+표1[[#This Row],[GDP]])/27)</f>
        <v>3.2124873645360732</v>
      </c>
      <c r="AL28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0.28147749999999994</v>
      </c>
      <c r="AM28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37.938000000000009</v>
      </c>
    </row>
    <row r="290" spans="1:39" x14ac:dyDescent="0.3">
      <c r="A290" t="str">
        <f>_xlfn.CONCAT(표1[[#This Row],[Year]],표1[[#This Row],[Player]])</f>
        <v>2008클락</v>
      </c>
      <c r="B290">
        <v>2008</v>
      </c>
      <c r="C290">
        <v>36</v>
      </c>
      <c r="D290" t="s">
        <v>110</v>
      </c>
      <c r="E290" t="s">
        <v>11</v>
      </c>
      <c r="F290">
        <v>0.246</v>
      </c>
      <c r="G290">
        <v>125</v>
      </c>
      <c r="H290">
        <v>546</v>
      </c>
      <c r="I290">
        <v>472</v>
      </c>
      <c r="J290">
        <v>96</v>
      </c>
      <c r="K290">
        <v>116</v>
      </c>
      <c r="L290">
        <f>표1[[#This Row],[H]]-표1[[#This Row],[2B]]-표1[[#This Row],[3B]]-표1[[#This Row],[HR]]</f>
        <v>66</v>
      </c>
      <c r="M290">
        <v>25</v>
      </c>
      <c r="N290">
        <v>3</v>
      </c>
      <c r="O290">
        <v>22</v>
      </c>
      <c r="P290">
        <v>213</v>
      </c>
      <c r="Q290">
        <v>79</v>
      </c>
      <c r="R290">
        <v>1</v>
      </c>
      <c r="S290">
        <v>5</v>
      </c>
      <c r="T290">
        <v>63</v>
      </c>
      <c r="U290">
        <v>4</v>
      </c>
      <c r="V290">
        <v>25</v>
      </c>
      <c r="W290">
        <v>5</v>
      </c>
      <c r="X290">
        <v>5</v>
      </c>
      <c r="Y290">
        <v>78</v>
      </c>
      <c r="Z290">
        <v>8</v>
      </c>
      <c r="AA290">
        <v>0.45100000000000001</v>
      </c>
      <c r="AB290">
        <v>0.33800000000000002</v>
      </c>
      <c r="AC290">
        <v>0.78900000000000003</v>
      </c>
      <c r="AD290">
        <v>32</v>
      </c>
      <c r="AE290">
        <v>0.26900000000000002</v>
      </c>
      <c r="AF290">
        <v>0</v>
      </c>
      <c r="AG290">
        <f>(표1[[#This Row],[TB]]-표1[[#This Row],[H]])/표1[[#This Row],[AB]]</f>
        <v>0.20550847457627119</v>
      </c>
      <c r="AH290">
        <f>(표1[[#This Row],[TB]]-표1[[#This Row],[H]]+표1[[#This Row],[BB]]+표1[[#This Row],[SB]]-표1[[#This Row],[CS]])/표1[[#This Row],[AB]]</f>
        <v>0.38135593220338981</v>
      </c>
      <c r="AI290">
        <f>(표1[[#This Row],[TB]]+표1[[#This Row],[BB]]+표1[[#This Row],[HBP]]+표1[[#This Row],[SB]]-표1[[#This Row],[CS]])/(표1[[#This Row],[AB]]-표1[[#This Row],[H]]+표1[[#This Row],[CS]]+표1[[#This Row],[GDP]])</f>
        <v>0.81571815718157181</v>
      </c>
      <c r="AJ29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76.968791208791203</v>
      </c>
      <c r="AK290">
        <f>표1[[#This Row],[RC]]/((표1[[#This Row],[AB]]-표1[[#This Row],[H]]+표1[[#This Row],[SAC]]+표1[[#This Row],[SF]]+표1[[#This Row],[CS]]+표1[[#This Row],[GDP]])/27)</f>
        <v>5.5417529670329664</v>
      </c>
      <c r="AL29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0.34048613678373379</v>
      </c>
      <c r="AM29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77.726000000000013</v>
      </c>
    </row>
    <row r="291" spans="1:39" x14ac:dyDescent="0.3">
      <c r="A291" t="str">
        <f>_xlfn.CONCAT(표1[[#This Row],[Year]],표1[[#This Row],[Player]])</f>
        <v>2008추승우</v>
      </c>
      <c r="B291">
        <v>2008</v>
      </c>
      <c r="C291">
        <v>37</v>
      </c>
      <c r="D291" t="s">
        <v>111</v>
      </c>
      <c r="E291" t="s">
        <v>11</v>
      </c>
      <c r="F291">
        <v>0.245</v>
      </c>
      <c r="G291">
        <v>119</v>
      </c>
      <c r="H291">
        <v>419</v>
      </c>
      <c r="I291">
        <v>371</v>
      </c>
      <c r="J291">
        <v>53</v>
      </c>
      <c r="K291">
        <v>91</v>
      </c>
      <c r="L291">
        <f>표1[[#This Row],[H]]-표1[[#This Row],[2B]]-표1[[#This Row],[3B]]-표1[[#This Row],[HR]]</f>
        <v>75</v>
      </c>
      <c r="M291">
        <v>13</v>
      </c>
      <c r="N291">
        <v>3</v>
      </c>
      <c r="O291">
        <v>0</v>
      </c>
      <c r="P291">
        <v>110</v>
      </c>
      <c r="Q291">
        <v>20</v>
      </c>
      <c r="R291">
        <v>7</v>
      </c>
      <c r="S291">
        <v>1</v>
      </c>
      <c r="T291">
        <v>30</v>
      </c>
      <c r="U291">
        <v>4</v>
      </c>
      <c r="V291">
        <v>19</v>
      </c>
      <c r="W291">
        <v>5</v>
      </c>
      <c r="X291">
        <v>10</v>
      </c>
      <c r="Y291">
        <v>75</v>
      </c>
      <c r="Z291">
        <v>3</v>
      </c>
      <c r="AA291">
        <v>0.29599999999999999</v>
      </c>
      <c r="AB291">
        <v>0.318</v>
      </c>
      <c r="AC291">
        <v>0.61399999999999999</v>
      </c>
      <c r="AD291">
        <v>22</v>
      </c>
      <c r="AE291">
        <v>0.22900000000000001</v>
      </c>
      <c r="AF291">
        <v>0.27300000000000002</v>
      </c>
      <c r="AG291">
        <f>(표1[[#This Row],[TB]]-표1[[#This Row],[H]])/표1[[#This Row],[AB]]</f>
        <v>5.1212938005390833E-2</v>
      </c>
      <c r="AH291">
        <f>(표1[[#This Row],[TB]]-표1[[#This Row],[H]]+표1[[#This Row],[BB]]+표1[[#This Row],[SB]]-표1[[#This Row],[CS]])/표1[[#This Row],[AB]]</f>
        <v>0.16981132075471697</v>
      </c>
      <c r="AI291">
        <f>(표1[[#This Row],[TB]]+표1[[#This Row],[BB]]+표1[[#This Row],[HBP]]+표1[[#This Row],[SB]]-표1[[#This Row],[CS]])/(표1[[#This Row],[AB]]-표1[[#This Row],[H]]+표1[[#This Row],[CS]]+표1[[#This Row],[GDP]])</f>
        <v>0.56944444444444442</v>
      </c>
      <c r="AJ29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39.160381861575182</v>
      </c>
      <c r="AK291">
        <f>표1[[#This Row],[RC]]/((표1[[#This Row],[AB]]-표1[[#This Row],[H]]+표1[[#This Row],[SAC]]+표1[[#This Row],[SF]]+표1[[#This Row],[CS]]+표1[[#This Row],[GDP]])/27)</f>
        <v>3.572061858995033</v>
      </c>
      <c r="AL29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0.27599509803921563</v>
      </c>
      <c r="AM29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38.78</v>
      </c>
    </row>
    <row r="292" spans="1:39" x14ac:dyDescent="0.3">
      <c r="A292" t="str">
        <f>_xlfn.CONCAT(표1[[#This Row],[Year]],표1[[#This Row],[Player]])</f>
        <v>2008박진만</v>
      </c>
      <c r="B292">
        <v>2008</v>
      </c>
      <c r="C292">
        <v>38</v>
      </c>
      <c r="D292" t="s">
        <v>31</v>
      </c>
      <c r="E292" t="s">
        <v>6</v>
      </c>
      <c r="F292">
        <v>0.24399999999999999</v>
      </c>
      <c r="G292">
        <v>104</v>
      </c>
      <c r="H292">
        <v>391</v>
      </c>
      <c r="I292">
        <v>332</v>
      </c>
      <c r="J292">
        <v>28</v>
      </c>
      <c r="K292">
        <v>81</v>
      </c>
      <c r="L292">
        <f>표1[[#This Row],[H]]-표1[[#This Row],[2B]]-표1[[#This Row],[3B]]-표1[[#This Row],[HR]]</f>
        <v>61</v>
      </c>
      <c r="M292">
        <v>12</v>
      </c>
      <c r="N292">
        <v>3</v>
      </c>
      <c r="O292">
        <v>5</v>
      </c>
      <c r="P292">
        <v>114</v>
      </c>
      <c r="Q292">
        <v>38</v>
      </c>
      <c r="R292">
        <v>9</v>
      </c>
      <c r="S292">
        <v>3</v>
      </c>
      <c r="T292">
        <v>44</v>
      </c>
      <c r="U292">
        <v>0</v>
      </c>
      <c r="V292">
        <v>5</v>
      </c>
      <c r="W292">
        <v>4</v>
      </c>
      <c r="X292">
        <v>3</v>
      </c>
      <c r="Y292">
        <v>50</v>
      </c>
      <c r="Z292">
        <v>9</v>
      </c>
      <c r="AA292">
        <v>0.34300000000000003</v>
      </c>
      <c r="AB292">
        <v>0.33500000000000002</v>
      </c>
      <c r="AC292">
        <v>0.67800000000000005</v>
      </c>
      <c r="AD292">
        <v>20</v>
      </c>
      <c r="AE292">
        <v>0.247</v>
      </c>
      <c r="AF292">
        <v>0</v>
      </c>
      <c r="AG292">
        <f>(표1[[#This Row],[TB]]-표1[[#This Row],[H]])/표1[[#This Row],[AB]]</f>
        <v>9.9397590361445784E-2</v>
      </c>
      <c r="AH292">
        <f>(표1[[#This Row],[TB]]-표1[[#This Row],[H]]+표1[[#This Row],[BB]]+표1[[#This Row],[SB]]-표1[[#This Row],[CS]])/표1[[#This Row],[AB]]</f>
        <v>0.23493975903614459</v>
      </c>
      <c r="AI292">
        <f>(표1[[#This Row],[TB]]+표1[[#This Row],[BB]]+표1[[#This Row],[HBP]]+표1[[#This Row],[SB]]-표1[[#This Row],[CS]])/(표1[[#This Row],[AB]]-표1[[#This Row],[H]]+표1[[#This Row],[CS]]+표1[[#This Row],[GDP]])</f>
        <v>0.61363636363636365</v>
      </c>
      <c r="AJ29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39.723529411764702</v>
      </c>
      <c r="AK292">
        <f>표1[[#This Row],[RC]]/((표1[[#This Row],[AB]]-표1[[#This Row],[H]]+표1[[#This Row],[SAC]]+표1[[#This Row],[SF]]+표1[[#This Row],[CS]]+표1[[#This Row],[GDP]])/27)</f>
        <v>3.8859974424552428</v>
      </c>
      <c r="AL29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0.30535863874345548</v>
      </c>
      <c r="AM29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40.209999999999994</v>
      </c>
    </row>
    <row r="293" spans="1:39" x14ac:dyDescent="0.3">
      <c r="A293" t="str">
        <f>_xlfn.CONCAT(표1[[#This Row],[Year]],표1[[#This Row],[Player]])</f>
        <v>2008김민재</v>
      </c>
      <c r="B293">
        <v>2008</v>
      </c>
      <c r="C293">
        <v>39</v>
      </c>
      <c r="D293" t="s">
        <v>47</v>
      </c>
      <c r="E293" t="s">
        <v>11</v>
      </c>
      <c r="F293">
        <v>0.24099999999999999</v>
      </c>
      <c r="G293">
        <v>114</v>
      </c>
      <c r="H293">
        <v>397</v>
      </c>
      <c r="I293">
        <v>357</v>
      </c>
      <c r="J293">
        <v>26</v>
      </c>
      <c r="K293">
        <v>86</v>
      </c>
      <c r="L293">
        <f>표1[[#This Row],[H]]-표1[[#This Row],[2B]]-표1[[#This Row],[3B]]-표1[[#This Row],[HR]]</f>
        <v>68</v>
      </c>
      <c r="M293">
        <v>13</v>
      </c>
      <c r="N293">
        <v>0</v>
      </c>
      <c r="O293">
        <v>5</v>
      </c>
      <c r="P293">
        <v>114</v>
      </c>
      <c r="Q293">
        <v>35</v>
      </c>
      <c r="R293">
        <v>7</v>
      </c>
      <c r="S293">
        <v>1</v>
      </c>
      <c r="T293">
        <v>30</v>
      </c>
      <c r="U293">
        <v>1</v>
      </c>
      <c r="V293">
        <v>13</v>
      </c>
      <c r="W293">
        <v>3</v>
      </c>
      <c r="X293">
        <v>2</v>
      </c>
      <c r="Y293">
        <v>37</v>
      </c>
      <c r="Z293">
        <v>6</v>
      </c>
      <c r="AA293">
        <v>0.31900000000000001</v>
      </c>
      <c r="AB293">
        <v>0.30299999999999999</v>
      </c>
      <c r="AC293">
        <v>0.622</v>
      </c>
      <c r="AD293">
        <v>19</v>
      </c>
      <c r="AE293">
        <v>0.30099999999999999</v>
      </c>
      <c r="AF293">
        <v>0</v>
      </c>
      <c r="AG293">
        <f>(표1[[#This Row],[TB]]-표1[[#This Row],[H]])/표1[[#This Row],[AB]]</f>
        <v>7.8431372549019607E-2</v>
      </c>
      <c r="AH293">
        <f>(표1[[#This Row],[TB]]-표1[[#This Row],[H]]+표1[[#This Row],[BB]]+표1[[#This Row],[SB]]-표1[[#This Row],[CS]])/표1[[#This Row],[AB]]</f>
        <v>0.19047619047619047</v>
      </c>
      <c r="AI293">
        <f>(표1[[#This Row],[TB]]+표1[[#This Row],[BB]]+표1[[#This Row],[HBP]]+표1[[#This Row],[SB]]-표1[[#This Row],[CS]])/(표1[[#This Row],[AB]]-표1[[#This Row],[H]]+표1[[#This Row],[CS]]+표1[[#This Row],[GDP]])</f>
        <v>0.55714285714285716</v>
      </c>
      <c r="AJ29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36.510881612090678</v>
      </c>
      <c r="AK293">
        <f>표1[[#This Row],[RC]]/((표1[[#This Row],[AB]]-표1[[#This Row],[H]]+표1[[#This Row],[SAC]]+표1[[#This Row],[SF]]+표1[[#This Row],[CS]]+표1[[#This Row],[GDP]])/27)</f>
        <v>3.4228951511335013</v>
      </c>
      <c r="AL29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0.2782159383033419</v>
      </c>
      <c r="AM29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36.474000000000004</v>
      </c>
    </row>
    <row r="294" spans="1:39" x14ac:dyDescent="0.3">
      <c r="A294" t="str">
        <f>_xlfn.CONCAT(표1[[#This Row],[Year]],표1[[#This Row],[Player]])</f>
        <v>2009박용택</v>
      </c>
      <c r="B294">
        <v>2009</v>
      </c>
      <c r="C294">
        <v>1</v>
      </c>
      <c r="D294" t="s">
        <v>42</v>
      </c>
      <c r="E294" t="s">
        <v>36</v>
      </c>
      <c r="F294">
        <v>0.372</v>
      </c>
      <c r="G294">
        <v>111</v>
      </c>
      <c r="H294">
        <v>506</v>
      </c>
      <c r="I294">
        <v>452</v>
      </c>
      <c r="J294">
        <v>91</v>
      </c>
      <c r="K294">
        <v>168</v>
      </c>
      <c r="L294">
        <f>표1[[#This Row],[H]]-표1[[#This Row],[2B]]-표1[[#This Row],[3B]]-표1[[#This Row],[HR]]</f>
        <v>114</v>
      </c>
      <c r="M294">
        <v>31</v>
      </c>
      <c r="N294">
        <v>5</v>
      </c>
      <c r="O294">
        <v>18</v>
      </c>
      <c r="P294">
        <v>263</v>
      </c>
      <c r="Q294">
        <v>74</v>
      </c>
      <c r="R294">
        <v>3</v>
      </c>
      <c r="S294">
        <v>9</v>
      </c>
      <c r="T294">
        <v>36</v>
      </c>
      <c r="U294">
        <v>2</v>
      </c>
      <c r="V294">
        <v>22</v>
      </c>
      <c r="W294">
        <v>3</v>
      </c>
      <c r="X294">
        <v>6</v>
      </c>
      <c r="Y294">
        <v>63</v>
      </c>
      <c r="Z294">
        <v>15</v>
      </c>
      <c r="AA294">
        <v>0.58199999999999996</v>
      </c>
      <c r="AB294">
        <v>0.41699999999999998</v>
      </c>
      <c r="AC294">
        <v>0.999</v>
      </c>
      <c r="AD294">
        <v>51</v>
      </c>
      <c r="AE294">
        <v>0.40200000000000002</v>
      </c>
      <c r="AF294">
        <v>1</v>
      </c>
      <c r="AG294">
        <f>(표1[[#This Row],[TB]]-표1[[#This Row],[H]])/표1[[#This Row],[AB]]</f>
        <v>0.21017699115044247</v>
      </c>
      <c r="AH294">
        <f>(표1[[#This Row],[TB]]-표1[[#This Row],[H]]+표1[[#This Row],[BB]]+표1[[#This Row],[SB]]-표1[[#This Row],[CS]])/표1[[#This Row],[AB]]</f>
        <v>0.33185840707964603</v>
      </c>
      <c r="AI294">
        <f>(표1[[#This Row],[TB]]+표1[[#This Row],[BB]]+표1[[#This Row],[HBP]]+표1[[#This Row],[SB]]-표1[[#This Row],[CS]])/(표1[[#This Row],[AB]]-표1[[#This Row],[H]]+표1[[#This Row],[CS]]+표1[[#This Row],[GDP]])</f>
        <v>1.0728476821192052</v>
      </c>
      <c r="AJ29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110.44932806324111</v>
      </c>
      <c r="AK294">
        <f>표1[[#This Row],[RC]]/((표1[[#This Row],[AB]]-표1[[#This Row],[H]]+표1[[#This Row],[SAC]]+표1[[#This Row],[SF]]+표1[[#This Row],[CS]]+표1[[#This Row],[GDP]])/27)</f>
        <v>9.4972352156290132</v>
      </c>
      <c r="AL29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0.42430738522954098</v>
      </c>
      <c r="AM29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99.376000000000005</v>
      </c>
    </row>
    <row r="295" spans="1:39" x14ac:dyDescent="0.3">
      <c r="A295" t="str">
        <f>_xlfn.CONCAT(표1[[#This Row],[Year]],표1[[#This Row],[Player]])</f>
        <v>2009홍성흔</v>
      </c>
      <c r="B295">
        <v>2009</v>
      </c>
      <c r="C295">
        <v>2</v>
      </c>
      <c r="D295" t="s">
        <v>49</v>
      </c>
      <c r="E295" t="s">
        <v>17</v>
      </c>
      <c r="F295">
        <v>0.371</v>
      </c>
      <c r="G295">
        <v>119</v>
      </c>
      <c r="H295">
        <v>487</v>
      </c>
      <c r="I295">
        <v>426</v>
      </c>
      <c r="J295">
        <v>71</v>
      </c>
      <c r="K295">
        <v>158</v>
      </c>
      <c r="L295">
        <f>표1[[#This Row],[H]]-표1[[#This Row],[2B]]-표1[[#This Row],[3B]]-표1[[#This Row],[HR]]</f>
        <v>113</v>
      </c>
      <c r="M295">
        <v>33</v>
      </c>
      <c r="N295">
        <v>0</v>
      </c>
      <c r="O295">
        <v>12</v>
      </c>
      <c r="P295">
        <v>227</v>
      </c>
      <c r="Q295">
        <v>64</v>
      </c>
      <c r="R295">
        <v>0</v>
      </c>
      <c r="S295">
        <v>7</v>
      </c>
      <c r="T295">
        <v>49</v>
      </c>
      <c r="U295">
        <v>1</v>
      </c>
      <c r="V295">
        <v>9</v>
      </c>
      <c r="W295">
        <v>3</v>
      </c>
      <c r="X295">
        <v>5</v>
      </c>
      <c r="Y295">
        <v>55</v>
      </c>
      <c r="Z295">
        <v>15</v>
      </c>
      <c r="AA295">
        <v>0.53300000000000003</v>
      </c>
      <c r="AB295">
        <v>0.435</v>
      </c>
      <c r="AC295">
        <v>0.96799999999999997</v>
      </c>
      <c r="AD295">
        <v>46</v>
      </c>
      <c r="AE295">
        <v>0.35199999999999998</v>
      </c>
      <c r="AF295">
        <v>0</v>
      </c>
      <c r="AG295">
        <f>(표1[[#This Row],[TB]]-표1[[#This Row],[H]])/표1[[#This Row],[AB]]</f>
        <v>0.1619718309859155</v>
      </c>
      <c r="AH295">
        <f>(표1[[#This Row],[TB]]-표1[[#This Row],[H]]+표1[[#This Row],[BB]]+표1[[#This Row],[SB]]-표1[[#This Row],[CS]])/표1[[#This Row],[AB]]</f>
        <v>0.29107981220657275</v>
      </c>
      <c r="AI295">
        <f>(표1[[#This Row],[TB]]+표1[[#This Row],[BB]]+표1[[#This Row],[HBP]]+표1[[#This Row],[SB]]-표1[[#This Row],[CS]])/(표1[[#This Row],[AB]]-표1[[#This Row],[H]]+표1[[#This Row],[CS]]+표1[[#This Row],[GDP]])</f>
        <v>1.0034965034965035</v>
      </c>
      <c r="AJ29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99.230800821355245</v>
      </c>
      <c r="AK295">
        <f>표1[[#This Row],[RC]]/((표1[[#This Row],[AB]]-표1[[#This Row],[H]]+표1[[#This Row],[SAC]]+표1[[#This Row],[SF]]+표1[[#This Row],[CS]]+표1[[#This Row],[GDP]])/27)</f>
        <v>9.1441352292716438</v>
      </c>
      <c r="AL29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0.41738065843621397</v>
      </c>
      <c r="AM29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88.95</v>
      </c>
    </row>
    <row r="296" spans="1:39" x14ac:dyDescent="0.3">
      <c r="A296" t="str">
        <f>_xlfn.CONCAT(표1[[#This Row],[Year]],표1[[#This Row],[Player]])</f>
        <v>2009김현수</v>
      </c>
      <c r="B296">
        <v>2009</v>
      </c>
      <c r="C296">
        <v>3</v>
      </c>
      <c r="D296" t="s">
        <v>98</v>
      </c>
      <c r="E296" t="s">
        <v>1</v>
      </c>
      <c r="F296">
        <v>0.35699999999999998</v>
      </c>
      <c r="G296">
        <v>133</v>
      </c>
      <c r="H296">
        <v>572</v>
      </c>
      <c r="I296">
        <v>482</v>
      </c>
      <c r="J296">
        <v>97</v>
      </c>
      <c r="K296">
        <v>172</v>
      </c>
      <c r="L296">
        <f>표1[[#This Row],[H]]-표1[[#This Row],[2B]]-표1[[#This Row],[3B]]-표1[[#This Row],[HR]]</f>
        <v>112</v>
      </c>
      <c r="M296">
        <v>31</v>
      </c>
      <c r="N296">
        <v>6</v>
      </c>
      <c r="O296">
        <v>23</v>
      </c>
      <c r="P296">
        <v>284</v>
      </c>
      <c r="Q296">
        <v>104</v>
      </c>
      <c r="R296">
        <v>0</v>
      </c>
      <c r="S296">
        <v>6</v>
      </c>
      <c r="T296">
        <v>80</v>
      </c>
      <c r="U296">
        <v>5</v>
      </c>
      <c r="V296">
        <v>6</v>
      </c>
      <c r="W296">
        <v>6</v>
      </c>
      <c r="X296">
        <v>4</v>
      </c>
      <c r="Y296">
        <v>59</v>
      </c>
      <c r="Z296">
        <v>7</v>
      </c>
      <c r="AA296">
        <v>0.58899999999999997</v>
      </c>
      <c r="AB296">
        <v>0.44800000000000001</v>
      </c>
      <c r="AC296">
        <v>1.0369999999999999</v>
      </c>
      <c r="AD296">
        <v>52</v>
      </c>
      <c r="AE296">
        <v>0.35399999999999998</v>
      </c>
      <c r="AF296">
        <v>0</v>
      </c>
      <c r="AG296">
        <f>(표1[[#This Row],[TB]]-표1[[#This Row],[H]])/표1[[#This Row],[AB]]</f>
        <v>0.23236514522821577</v>
      </c>
      <c r="AH296">
        <f>(표1[[#This Row],[TB]]-표1[[#This Row],[H]]+표1[[#This Row],[BB]]+표1[[#This Row],[SB]]-표1[[#This Row],[CS]])/표1[[#This Row],[AB]]</f>
        <v>0.39834024896265557</v>
      </c>
      <c r="AI296">
        <f>(표1[[#This Row],[TB]]+표1[[#This Row],[BB]]+표1[[#This Row],[HBP]]+표1[[#This Row],[SB]]-표1[[#This Row],[CS]])/(표1[[#This Row],[AB]]-표1[[#This Row],[H]]+표1[[#This Row],[CS]]+표1[[#This Row],[GDP]])</f>
        <v>1.1393188854489165</v>
      </c>
      <c r="AJ29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132.02716783216783</v>
      </c>
      <c r="AK296">
        <f>표1[[#This Row],[RC]]/((표1[[#This Row],[AB]]-표1[[#This Row],[H]]+표1[[#This Row],[SAC]]+표1[[#This Row],[SF]]+표1[[#This Row],[CS]]+표1[[#This Row],[GDP]])/27)</f>
        <v>10.835056326652072</v>
      </c>
      <c r="AL29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0.44017636684303346</v>
      </c>
      <c r="AM29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116.20799999999997</v>
      </c>
    </row>
    <row r="297" spans="1:39" x14ac:dyDescent="0.3">
      <c r="A297" t="str">
        <f>_xlfn.CONCAT(표1[[#This Row],[Year]],표1[[#This Row],[Player]])</f>
        <v>2009김동주</v>
      </c>
      <c r="B297">
        <v>2009</v>
      </c>
      <c r="C297">
        <v>4</v>
      </c>
      <c r="D297" t="s">
        <v>0</v>
      </c>
      <c r="E297" t="s">
        <v>1</v>
      </c>
      <c r="F297">
        <v>0.35299999999999998</v>
      </c>
      <c r="G297">
        <v>105</v>
      </c>
      <c r="H297">
        <v>426</v>
      </c>
      <c r="I297">
        <v>354</v>
      </c>
      <c r="J297">
        <v>63</v>
      </c>
      <c r="K297">
        <v>125</v>
      </c>
      <c r="L297">
        <f>표1[[#This Row],[H]]-표1[[#This Row],[2B]]-표1[[#This Row],[3B]]-표1[[#This Row],[HR]]</f>
        <v>78</v>
      </c>
      <c r="M297">
        <v>28</v>
      </c>
      <c r="N297">
        <v>0</v>
      </c>
      <c r="O297">
        <v>19</v>
      </c>
      <c r="P297">
        <v>210</v>
      </c>
      <c r="Q297">
        <v>86</v>
      </c>
      <c r="R297">
        <v>0</v>
      </c>
      <c r="S297">
        <v>3</v>
      </c>
      <c r="T297">
        <v>61</v>
      </c>
      <c r="U297">
        <v>10</v>
      </c>
      <c r="V297">
        <v>3</v>
      </c>
      <c r="W297">
        <v>1</v>
      </c>
      <c r="X297">
        <v>8</v>
      </c>
      <c r="Y297">
        <v>55</v>
      </c>
      <c r="Z297">
        <v>17</v>
      </c>
      <c r="AA297">
        <v>0.59299999999999997</v>
      </c>
      <c r="AB297">
        <v>0.45500000000000002</v>
      </c>
      <c r="AC297">
        <v>1.048</v>
      </c>
      <c r="AD297">
        <v>40</v>
      </c>
      <c r="AE297">
        <v>0.36899999999999999</v>
      </c>
      <c r="AF297">
        <v>0</v>
      </c>
      <c r="AG297">
        <f>(표1[[#This Row],[TB]]-표1[[#This Row],[H]])/표1[[#This Row],[AB]]</f>
        <v>0.24011299435028249</v>
      </c>
      <c r="AH297">
        <f>(표1[[#This Row],[TB]]-표1[[#This Row],[H]]+표1[[#This Row],[BB]]+표1[[#This Row],[SB]]-표1[[#This Row],[CS]])/표1[[#This Row],[AB]]</f>
        <v>0.41807909604519772</v>
      </c>
      <c r="AI297">
        <f>(표1[[#This Row],[TB]]+표1[[#This Row],[BB]]+표1[[#This Row],[HBP]]+표1[[#This Row],[SB]]-표1[[#This Row],[CS]])/(표1[[#This Row],[AB]]-표1[[#This Row],[H]]+표1[[#This Row],[CS]]+표1[[#This Row],[GDP]])</f>
        <v>1.1376518218623481</v>
      </c>
      <c r="AJ29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94.38723004694836</v>
      </c>
      <c r="AK297">
        <f>표1[[#This Row],[RC]]/((표1[[#This Row],[AB]]-표1[[#This Row],[H]]+표1[[#This Row],[SAC]]+표1[[#This Row],[SF]]+표1[[#This Row],[CS]]+표1[[#This Row],[GDP]])/27)</f>
        <v>10.193820845070423</v>
      </c>
      <c r="AL29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0.4429495192307692</v>
      </c>
      <c r="AM29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83.070000000000007</v>
      </c>
    </row>
    <row r="298" spans="1:39" x14ac:dyDescent="0.3">
      <c r="A298" t="str">
        <f>_xlfn.CONCAT(표1[[#This Row],[Year]],표1[[#This Row],[Player]])</f>
        <v>2009정근우</v>
      </c>
      <c r="B298">
        <v>2009</v>
      </c>
      <c r="C298">
        <v>5</v>
      </c>
      <c r="D298" t="s">
        <v>79</v>
      </c>
      <c r="E298" t="s">
        <v>8</v>
      </c>
      <c r="F298">
        <v>0.35</v>
      </c>
      <c r="G298">
        <v>127</v>
      </c>
      <c r="H298">
        <v>565</v>
      </c>
      <c r="I298">
        <v>480</v>
      </c>
      <c r="J298">
        <v>98</v>
      </c>
      <c r="K298">
        <v>168</v>
      </c>
      <c r="L298">
        <f>표1[[#This Row],[H]]-표1[[#This Row],[2B]]-표1[[#This Row],[3B]]-표1[[#This Row],[HR]]</f>
        <v>126</v>
      </c>
      <c r="M298">
        <v>29</v>
      </c>
      <c r="N298">
        <v>4</v>
      </c>
      <c r="O298">
        <v>9</v>
      </c>
      <c r="P298">
        <v>232</v>
      </c>
      <c r="Q298">
        <v>59</v>
      </c>
      <c r="R298">
        <v>2</v>
      </c>
      <c r="S298">
        <v>5</v>
      </c>
      <c r="T298">
        <v>67</v>
      </c>
      <c r="U298">
        <v>1</v>
      </c>
      <c r="V298">
        <v>53</v>
      </c>
      <c r="W298">
        <v>13</v>
      </c>
      <c r="X298">
        <v>11</v>
      </c>
      <c r="Y298">
        <v>55</v>
      </c>
      <c r="Z298">
        <v>8</v>
      </c>
      <c r="AA298">
        <v>0.48299999999999998</v>
      </c>
      <c r="AB298">
        <v>0.437</v>
      </c>
      <c r="AC298">
        <v>0.92</v>
      </c>
      <c r="AD298">
        <v>51</v>
      </c>
      <c r="AE298">
        <v>0.32800000000000001</v>
      </c>
      <c r="AF298">
        <v>0.25</v>
      </c>
      <c r="AG298">
        <f>(표1[[#This Row],[TB]]-표1[[#This Row],[H]])/표1[[#This Row],[AB]]</f>
        <v>0.13333333333333333</v>
      </c>
      <c r="AH298">
        <f>(표1[[#This Row],[TB]]-표1[[#This Row],[H]]+표1[[#This Row],[BB]]+표1[[#This Row],[SB]]-표1[[#This Row],[CS]])/표1[[#This Row],[AB]]</f>
        <v>0.35625000000000001</v>
      </c>
      <c r="AI298">
        <f>(표1[[#This Row],[TB]]+표1[[#This Row],[BB]]+표1[[#This Row],[HBP]]+표1[[#This Row],[SB]]-표1[[#This Row],[CS]])/(표1[[#This Row],[AB]]-표1[[#This Row],[H]]+표1[[#This Row],[CS]]+표1[[#This Row],[GDP]])</f>
        <v>1.0510510510510511</v>
      </c>
      <c r="AJ29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112.78672566371682</v>
      </c>
      <c r="AK298">
        <f>표1[[#This Row],[RC]]/((표1[[#This Row],[AB]]-표1[[#This Row],[H]]+표1[[#This Row],[SAC]]+표1[[#This Row],[SF]]+표1[[#This Row],[CS]]+표1[[#This Row],[GDP]])/27)</f>
        <v>8.956592920353982</v>
      </c>
      <c r="AL29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0.40263167259786475</v>
      </c>
      <c r="AM29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103.26</v>
      </c>
    </row>
    <row r="299" spans="1:39" x14ac:dyDescent="0.3">
      <c r="A299" t="str">
        <f>_xlfn.CONCAT(표1[[#This Row],[Year]],표1[[#This Row],[Player]])</f>
        <v>2009페타지니</v>
      </c>
      <c r="B299">
        <v>2009</v>
      </c>
      <c r="C299">
        <v>6</v>
      </c>
      <c r="D299" t="s">
        <v>112</v>
      </c>
      <c r="E299" t="s">
        <v>36</v>
      </c>
      <c r="F299">
        <v>0.33200000000000002</v>
      </c>
      <c r="G299">
        <v>115</v>
      </c>
      <c r="H299">
        <v>498</v>
      </c>
      <c r="I299">
        <v>388</v>
      </c>
      <c r="J299">
        <v>62</v>
      </c>
      <c r="K299">
        <v>129</v>
      </c>
      <c r="L299">
        <f>표1[[#This Row],[H]]-표1[[#This Row],[2B]]-표1[[#This Row],[3B]]-표1[[#This Row],[HR]]</f>
        <v>87</v>
      </c>
      <c r="M299">
        <v>16</v>
      </c>
      <c r="N299">
        <v>0</v>
      </c>
      <c r="O299">
        <v>26</v>
      </c>
      <c r="P299">
        <v>223</v>
      </c>
      <c r="Q299">
        <v>100</v>
      </c>
      <c r="R299">
        <v>0</v>
      </c>
      <c r="S299">
        <v>6</v>
      </c>
      <c r="T299">
        <v>97</v>
      </c>
      <c r="U299">
        <v>9</v>
      </c>
      <c r="V299">
        <v>2</v>
      </c>
      <c r="W299">
        <v>0</v>
      </c>
      <c r="X299">
        <v>7</v>
      </c>
      <c r="Y299">
        <v>70</v>
      </c>
      <c r="Z299">
        <v>7</v>
      </c>
      <c r="AA299">
        <v>0.57499999999999996</v>
      </c>
      <c r="AB299">
        <v>0.46800000000000003</v>
      </c>
      <c r="AC299">
        <v>1.0429999999999999</v>
      </c>
      <c r="AD299">
        <v>33</v>
      </c>
      <c r="AE299">
        <v>0.35</v>
      </c>
      <c r="AF299">
        <v>0</v>
      </c>
      <c r="AG299">
        <f>(표1[[#This Row],[TB]]-표1[[#This Row],[H]])/표1[[#This Row],[AB]]</f>
        <v>0.2422680412371134</v>
      </c>
      <c r="AH299">
        <f>(표1[[#This Row],[TB]]-표1[[#This Row],[H]]+표1[[#This Row],[BB]]+표1[[#This Row],[SB]]-표1[[#This Row],[CS]])/표1[[#This Row],[AB]]</f>
        <v>0.49742268041237114</v>
      </c>
      <c r="AI299">
        <f>(표1[[#This Row],[TB]]+표1[[#This Row],[BB]]+표1[[#This Row],[HBP]]+표1[[#This Row],[SB]]-표1[[#This Row],[CS]])/(표1[[#This Row],[AB]]-표1[[#This Row],[H]]+표1[[#This Row],[CS]]+표1[[#This Row],[GDP]])</f>
        <v>1.236842105263158</v>
      </c>
      <c r="AJ29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114.29791164658633</v>
      </c>
      <c r="AK299">
        <f>표1[[#This Row],[RC]]/((표1[[#This Row],[AB]]-표1[[#This Row],[H]]+표1[[#This Row],[SAC]]+표1[[#This Row],[SF]]+표1[[#This Row],[CS]]+표1[[#This Row],[GDP]])/27)</f>
        <v>11.345748582565554</v>
      </c>
      <c r="AL29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0.44251533742331284</v>
      </c>
      <c r="AM29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103.13</v>
      </c>
    </row>
    <row r="300" spans="1:39" x14ac:dyDescent="0.3">
      <c r="A300" t="str">
        <f>_xlfn.CONCAT(표1[[#This Row],[Year]],표1[[#This Row],[Player]])</f>
        <v>2009김상현</v>
      </c>
      <c r="B300">
        <v>2009</v>
      </c>
      <c r="C300">
        <v>7</v>
      </c>
      <c r="D300" t="s">
        <v>97</v>
      </c>
      <c r="E300" t="s">
        <v>13</v>
      </c>
      <c r="F300">
        <v>0.315</v>
      </c>
      <c r="G300">
        <v>121</v>
      </c>
      <c r="H300">
        <v>496</v>
      </c>
      <c r="I300">
        <v>448</v>
      </c>
      <c r="J300">
        <v>77</v>
      </c>
      <c r="K300">
        <v>141</v>
      </c>
      <c r="L300">
        <f>표1[[#This Row],[H]]-표1[[#This Row],[2B]]-표1[[#This Row],[3B]]-표1[[#This Row],[HR]]</f>
        <v>73</v>
      </c>
      <c r="M300">
        <v>30</v>
      </c>
      <c r="N300">
        <v>2</v>
      </c>
      <c r="O300">
        <v>36</v>
      </c>
      <c r="P300">
        <v>283</v>
      </c>
      <c r="Q300">
        <v>127</v>
      </c>
      <c r="R300">
        <v>0</v>
      </c>
      <c r="S300">
        <v>1</v>
      </c>
      <c r="T300">
        <v>41</v>
      </c>
      <c r="U300">
        <v>1</v>
      </c>
      <c r="V300">
        <v>7</v>
      </c>
      <c r="W300">
        <v>5</v>
      </c>
      <c r="X300">
        <v>6</v>
      </c>
      <c r="Y300">
        <v>103</v>
      </c>
      <c r="Z300">
        <v>11</v>
      </c>
      <c r="AA300">
        <v>0.63200000000000001</v>
      </c>
      <c r="AB300">
        <v>0.379</v>
      </c>
      <c r="AC300">
        <v>1.0109999999999999</v>
      </c>
      <c r="AD300">
        <v>46</v>
      </c>
      <c r="AE300">
        <v>0.40300000000000002</v>
      </c>
      <c r="AF300">
        <v>0</v>
      </c>
      <c r="AG300">
        <f>(표1[[#This Row],[TB]]-표1[[#This Row],[H]])/표1[[#This Row],[AB]]</f>
        <v>0.3169642857142857</v>
      </c>
      <c r="AH300">
        <f>(표1[[#This Row],[TB]]-표1[[#This Row],[H]]+표1[[#This Row],[BB]]+표1[[#This Row],[SB]]-표1[[#This Row],[CS]])/표1[[#This Row],[AB]]</f>
        <v>0.41294642857142855</v>
      </c>
      <c r="AI300">
        <f>(표1[[#This Row],[TB]]+표1[[#This Row],[BB]]+표1[[#This Row],[HBP]]+표1[[#This Row],[SB]]-표1[[#This Row],[CS]])/(표1[[#This Row],[AB]]-표1[[#This Row],[H]]+표1[[#This Row],[CS]]+표1[[#This Row],[GDP]])</f>
        <v>1.0278637770897834</v>
      </c>
      <c r="AJ30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103.72709677419354</v>
      </c>
      <c r="AK300">
        <f>표1[[#This Row],[RC]]/((표1[[#This Row],[AB]]-표1[[#This Row],[H]]+표1[[#This Row],[SAC]]+표1[[#This Row],[SF]]+표1[[#This Row],[CS]]+표1[[#This Row],[GDP]])/27)</f>
        <v>8.6439247311827945</v>
      </c>
      <c r="AL30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0.42724848484848482</v>
      </c>
      <c r="AM30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95.415999999999997</v>
      </c>
    </row>
    <row r="301" spans="1:39" x14ac:dyDescent="0.3">
      <c r="A301" t="str">
        <f>_xlfn.CONCAT(표1[[#This Row],[Year]],표1[[#This Row],[Player]])</f>
        <v>2009이택근</v>
      </c>
      <c r="B301">
        <v>2009</v>
      </c>
      <c r="C301">
        <v>8</v>
      </c>
      <c r="D301" t="s">
        <v>77</v>
      </c>
      <c r="E301" t="s">
        <v>113</v>
      </c>
      <c r="F301">
        <v>0.311</v>
      </c>
      <c r="G301">
        <v>123</v>
      </c>
      <c r="H301">
        <v>538</v>
      </c>
      <c r="I301">
        <v>456</v>
      </c>
      <c r="J301">
        <v>84</v>
      </c>
      <c r="K301">
        <v>142</v>
      </c>
      <c r="L301">
        <f>표1[[#This Row],[H]]-표1[[#This Row],[2B]]-표1[[#This Row],[3B]]-표1[[#This Row],[HR]]</f>
        <v>101</v>
      </c>
      <c r="M301">
        <v>26</v>
      </c>
      <c r="N301">
        <v>0</v>
      </c>
      <c r="O301">
        <v>15</v>
      </c>
      <c r="P301">
        <v>213</v>
      </c>
      <c r="Q301">
        <v>66</v>
      </c>
      <c r="R301">
        <v>1</v>
      </c>
      <c r="S301">
        <v>4</v>
      </c>
      <c r="T301">
        <v>64</v>
      </c>
      <c r="U301">
        <v>5</v>
      </c>
      <c r="V301">
        <v>43</v>
      </c>
      <c r="W301">
        <v>8</v>
      </c>
      <c r="X301">
        <v>13</v>
      </c>
      <c r="Y301">
        <v>59</v>
      </c>
      <c r="Z301">
        <v>13</v>
      </c>
      <c r="AA301">
        <v>0.46700000000000003</v>
      </c>
      <c r="AB301">
        <v>0.40799999999999997</v>
      </c>
      <c r="AC301">
        <v>0.875</v>
      </c>
      <c r="AD301">
        <v>38</v>
      </c>
      <c r="AE301">
        <v>0.29099999999999998</v>
      </c>
      <c r="AF301">
        <v>0</v>
      </c>
      <c r="AG301">
        <f>(표1[[#This Row],[TB]]-표1[[#This Row],[H]])/표1[[#This Row],[AB]]</f>
        <v>0.15570175438596492</v>
      </c>
      <c r="AH301">
        <f>(표1[[#This Row],[TB]]-표1[[#This Row],[H]]+표1[[#This Row],[BB]]+표1[[#This Row],[SB]]-표1[[#This Row],[CS]])/표1[[#This Row],[AB]]</f>
        <v>0.37280701754385964</v>
      </c>
      <c r="AI301">
        <f>(표1[[#This Row],[TB]]+표1[[#This Row],[BB]]+표1[[#This Row],[HBP]]+표1[[#This Row],[SB]]-표1[[#This Row],[CS]])/(표1[[#This Row],[AB]]-표1[[#This Row],[H]]+표1[[#This Row],[CS]]+표1[[#This Row],[GDP]])</f>
        <v>0.97014925373134331</v>
      </c>
      <c r="AJ30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94.465873605947948</v>
      </c>
      <c r="AK301">
        <f>표1[[#This Row],[RC]]/((표1[[#This Row],[AB]]-표1[[#This Row],[H]]+표1[[#This Row],[SAC]]+표1[[#This Row],[SF]]+표1[[#This Row],[CS]]+표1[[#This Row],[GDP]])/27)</f>
        <v>7.5017017275311604</v>
      </c>
      <c r="AL30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0.38156203007518802</v>
      </c>
      <c r="AM30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89.707999999999998</v>
      </c>
    </row>
    <row r="302" spans="1:39" x14ac:dyDescent="0.3">
      <c r="A302" t="str">
        <f>_xlfn.CONCAT(표1[[#This Row],[Year]],표1[[#This Row],[Player]])</f>
        <v>2009김주찬</v>
      </c>
      <c r="B302">
        <v>2009</v>
      </c>
      <c r="C302">
        <v>9</v>
      </c>
      <c r="D302" t="s">
        <v>65</v>
      </c>
      <c r="E302" t="s">
        <v>17</v>
      </c>
      <c r="F302">
        <v>0.31</v>
      </c>
      <c r="G302">
        <v>109</v>
      </c>
      <c r="H302">
        <v>479</v>
      </c>
      <c r="I302">
        <v>435</v>
      </c>
      <c r="J302">
        <v>77</v>
      </c>
      <c r="K302">
        <v>135</v>
      </c>
      <c r="L302">
        <f>표1[[#This Row],[H]]-표1[[#This Row],[2B]]-표1[[#This Row],[3B]]-표1[[#This Row],[HR]]</f>
        <v>93</v>
      </c>
      <c r="M302">
        <v>30</v>
      </c>
      <c r="N302">
        <v>5</v>
      </c>
      <c r="O302">
        <v>7</v>
      </c>
      <c r="P302">
        <v>196</v>
      </c>
      <c r="Q302">
        <v>51</v>
      </c>
      <c r="R302">
        <v>4</v>
      </c>
      <c r="S302">
        <v>6</v>
      </c>
      <c r="T302">
        <v>28</v>
      </c>
      <c r="U302">
        <v>0</v>
      </c>
      <c r="V302">
        <v>34</v>
      </c>
      <c r="W302">
        <v>7</v>
      </c>
      <c r="X302">
        <v>6</v>
      </c>
      <c r="Y302">
        <v>56</v>
      </c>
      <c r="Z302">
        <v>7</v>
      </c>
      <c r="AA302">
        <v>0.45100000000000001</v>
      </c>
      <c r="AB302">
        <v>0.35599999999999998</v>
      </c>
      <c r="AC302">
        <v>0.80700000000000005</v>
      </c>
      <c r="AD302">
        <v>43</v>
      </c>
      <c r="AE302">
        <v>0.36</v>
      </c>
      <c r="AF302">
        <v>0</v>
      </c>
      <c r="AG302">
        <f>(표1[[#This Row],[TB]]-표1[[#This Row],[H]])/표1[[#This Row],[AB]]</f>
        <v>0.14022988505747128</v>
      </c>
      <c r="AH302">
        <f>(표1[[#This Row],[TB]]-표1[[#This Row],[H]]+표1[[#This Row],[BB]]+표1[[#This Row],[SB]]-표1[[#This Row],[CS]])/표1[[#This Row],[AB]]</f>
        <v>0.26666666666666666</v>
      </c>
      <c r="AI302">
        <f>(표1[[#This Row],[TB]]+표1[[#This Row],[BB]]+표1[[#This Row],[HBP]]+표1[[#This Row],[SB]]-표1[[#This Row],[CS]])/(표1[[#This Row],[AB]]-표1[[#This Row],[H]]+표1[[#This Row],[CS]]+표1[[#This Row],[GDP]])</f>
        <v>0.81847133757961787</v>
      </c>
      <c r="AJ30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73.688100208768262</v>
      </c>
      <c r="AK302">
        <f>표1[[#This Row],[RC]]/((표1[[#This Row],[AB]]-표1[[#This Row],[H]]+표1[[#This Row],[SAC]]+표1[[#This Row],[SF]]+표1[[#This Row],[CS]]+표1[[#This Row],[GDP]])/27)</f>
        <v>6.1406750173973554</v>
      </c>
      <c r="AL30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0.34941684210526314</v>
      </c>
      <c r="AM30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71.162000000000006</v>
      </c>
    </row>
    <row r="303" spans="1:39" x14ac:dyDescent="0.3">
      <c r="A303" t="str">
        <f>_xlfn.CONCAT(표1[[#This Row],[Year]],표1[[#This Row],[Player]])</f>
        <v>2009강봉규</v>
      </c>
      <c r="B303">
        <v>2009</v>
      </c>
      <c r="C303">
        <v>10</v>
      </c>
      <c r="D303" t="s">
        <v>114</v>
      </c>
      <c r="E303" t="s">
        <v>6</v>
      </c>
      <c r="F303">
        <v>0.31</v>
      </c>
      <c r="G303">
        <v>126</v>
      </c>
      <c r="H303">
        <v>529</v>
      </c>
      <c r="I303">
        <v>449</v>
      </c>
      <c r="J303">
        <v>89</v>
      </c>
      <c r="K303">
        <v>139</v>
      </c>
      <c r="L303">
        <f>표1[[#This Row],[H]]-표1[[#This Row],[2B]]-표1[[#This Row],[3B]]-표1[[#This Row],[HR]]</f>
        <v>93</v>
      </c>
      <c r="M303">
        <v>24</v>
      </c>
      <c r="N303">
        <v>2</v>
      </c>
      <c r="O303">
        <v>20</v>
      </c>
      <c r="P303">
        <v>227</v>
      </c>
      <c r="Q303">
        <v>78</v>
      </c>
      <c r="R303">
        <v>6</v>
      </c>
      <c r="S303">
        <v>1</v>
      </c>
      <c r="T303">
        <v>69</v>
      </c>
      <c r="U303">
        <v>2</v>
      </c>
      <c r="V303">
        <v>20</v>
      </c>
      <c r="W303">
        <v>3</v>
      </c>
      <c r="X303">
        <v>4</v>
      </c>
      <c r="Y303">
        <v>61</v>
      </c>
      <c r="Z303">
        <v>15</v>
      </c>
      <c r="AA303">
        <v>0.50600000000000001</v>
      </c>
      <c r="AB303">
        <v>0.40500000000000003</v>
      </c>
      <c r="AC303">
        <v>0.91100000000000003</v>
      </c>
      <c r="AD303">
        <v>37</v>
      </c>
      <c r="AE303">
        <v>0.27400000000000002</v>
      </c>
      <c r="AF303">
        <v>0.33300000000000002</v>
      </c>
      <c r="AG303">
        <f>(표1[[#This Row],[TB]]-표1[[#This Row],[H]])/표1[[#This Row],[AB]]</f>
        <v>0.19599109131403117</v>
      </c>
      <c r="AH303">
        <f>(표1[[#This Row],[TB]]-표1[[#This Row],[H]]+표1[[#This Row],[BB]]+표1[[#This Row],[SB]]-표1[[#This Row],[CS]])/표1[[#This Row],[AB]]</f>
        <v>0.38752783964365256</v>
      </c>
      <c r="AI303">
        <f>(표1[[#This Row],[TB]]+표1[[#This Row],[BB]]+표1[[#This Row],[HBP]]+표1[[#This Row],[SB]]-표1[[#This Row],[CS]])/(표1[[#This Row],[AB]]-표1[[#This Row],[H]]+표1[[#This Row],[CS]]+표1[[#This Row],[GDP]])</f>
        <v>0.96646341463414631</v>
      </c>
      <c r="AJ30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95.166351606805293</v>
      </c>
      <c r="AK303">
        <f>표1[[#This Row],[RC]]/((표1[[#This Row],[AB]]-표1[[#This Row],[H]]+표1[[#This Row],[SAC]]+표1[[#This Row],[SF]]+표1[[#This Row],[CS]]+표1[[#This Row],[GDP]])/27)</f>
        <v>7.6701238608469939</v>
      </c>
      <c r="AL30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0.39522264875239921</v>
      </c>
      <c r="AM30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88.612000000000009</v>
      </c>
    </row>
    <row r="304" spans="1:39" x14ac:dyDescent="0.3">
      <c r="A304" t="str">
        <f>_xlfn.CONCAT(표1[[#This Row],[Year]],표1[[#This Row],[Player]])</f>
        <v>2009최희섭</v>
      </c>
      <c r="B304">
        <v>2009</v>
      </c>
      <c r="C304">
        <v>11</v>
      </c>
      <c r="D304" t="s">
        <v>115</v>
      </c>
      <c r="E304" t="s">
        <v>13</v>
      </c>
      <c r="F304">
        <v>0.308</v>
      </c>
      <c r="G304">
        <v>131</v>
      </c>
      <c r="H304">
        <v>545</v>
      </c>
      <c r="I304">
        <v>435</v>
      </c>
      <c r="J304">
        <v>98</v>
      </c>
      <c r="K304">
        <v>134</v>
      </c>
      <c r="L304">
        <f>표1[[#This Row],[H]]-표1[[#This Row],[2B]]-표1[[#This Row],[3B]]-표1[[#This Row],[HR]]</f>
        <v>78</v>
      </c>
      <c r="M304">
        <v>23</v>
      </c>
      <c r="N304">
        <v>0</v>
      </c>
      <c r="O304">
        <v>33</v>
      </c>
      <c r="P304">
        <v>256</v>
      </c>
      <c r="Q304">
        <v>100</v>
      </c>
      <c r="R304">
        <v>0</v>
      </c>
      <c r="S304">
        <v>7</v>
      </c>
      <c r="T304">
        <v>96</v>
      </c>
      <c r="U304">
        <v>13</v>
      </c>
      <c r="V304">
        <v>2</v>
      </c>
      <c r="W304">
        <v>4</v>
      </c>
      <c r="X304">
        <v>7</v>
      </c>
      <c r="Y304">
        <v>108</v>
      </c>
      <c r="Z304">
        <v>14</v>
      </c>
      <c r="AA304">
        <v>0.58899999999999997</v>
      </c>
      <c r="AB304">
        <v>0.435</v>
      </c>
      <c r="AC304">
        <v>1.024</v>
      </c>
      <c r="AD304">
        <v>37</v>
      </c>
      <c r="AE304">
        <v>0.33600000000000002</v>
      </c>
      <c r="AF304">
        <v>0.16700000000000001</v>
      </c>
      <c r="AG304">
        <f>(표1[[#This Row],[TB]]-표1[[#This Row],[H]])/표1[[#This Row],[AB]]</f>
        <v>0.28045977011494255</v>
      </c>
      <c r="AH304">
        <f>(표1[[#This Row],[TB]]-표1[[#This Row],[H]]+표1[[#This Row],[BB]]+표1[[#This Row],[SB]]-표1[[#This Row],[CS]])/표1[[#This Row],[AB]]</f>
        <v>0.49655172413793103</v>
      </c>
      <c r="AI304">
        <f>(표1[[#This Row],[TB]]+표1[[#This Row],[BB]]+표1[[#This Row],[HBP]]+표1[[#This Row],[SB]]-표1[[#This Row],[CS]])/(표1[[#This Row],[AB]]-표1[[#This Row],[H]]+표1[[#This Row],[CS]]+표1[[#This Row],[GDP]])</f>
        <v>1.1191222570532915</v>
      </c>
      <c r="AJ30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114.15324770642201</v>
      </c>
      <c r="AK304">
        <f>표1[[#This Row],[RC]]/((표1[[#This Row],[AB]]-표1[[#This Row],[H]]+표1[[#This Row],[SAC]]+표1[[#This Row],[SF]]+표1[[#This Row],[CS]]+표1[[#This Row],[GDP]])/27)</f>
        <v>9.4544100861147058</v>
      </c>
      <c r="AL30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0.42891729323308264</v>
      </c>
      <c r="AM30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105.46600000000001</v>
      </c>
    </row>
    <row r="305" spans="1:39" x14ac:dyDescent="0.3">
      <c r="A305" t="str">
        <f>_xlfn.CONCAT(표1[[#This Row],[Year]],표1[[#This Row],[Player]])</f>
        <v>2009강동우</v>
      </c>
      <c r="B305">
        <v>2009</v>
      </c>
      <c r="C305">
        <v>12</v>
      </c>
      <c r="D305" t="s">
        <v>39</v>
      </c>
      <c r="E305" t="s">
        <v>11</v>
      </c>
      <c r="F305">
        <v>0.30199999999999999</v>
      </c>
      <c r="G305">
        <v>128</v>
      </c>
      <c r="H305">
        <v>585</v>
      </c>
      <c r="I305">
        <v>506</v>
      </c>
      <c r="J305">
        <v>88</v>
      </c>
      <c r="K305">
        <v>153</v>
      </c>
      <c r="L305">
        <f>표1[[#This Row],[H]]-표1[[#This Row],[2B]]-표1[[#This Row],[3B]]-표1[[#This Row],[HR]]</f>
        <v>111</v>
      </c>
      <c r="M305">
        <v>30</v>
      </c>
      <c r="N305">
        <v>2</v>
      </c>
      <c r="O305">
        <v>10</v>
      </c>
      <c r="P305">
        <v>217</v>
      </c>
      <c r="Q305">
        <v>48</v>
      </c>
      <c r="R305">
        <v>4</v>
      </c>
      <c r="S305">
        <v>5</v>
      </c>
      <c r="T305">
        <v>69</v>
      </c>
      <c r="U305">
        <v>0</v>
      </c>
      <c r="V305">
        <v>27</v>
      </c>
      <c r="W305">
        <v>3</v>
      </c>
      <c r="X305">
        <v>1</v>
      </c>
      <c r="Y305">
        <v>58</v>
      </c>
      <c r="Z305">
        <v>6</v>
      </c>
      <c r="AA305">
        <v>0.42899999999999999</v>
      </c>
      <c r="AB305">
        <v>0.38400000000000001</v>
      </c>
      <c r="AC305">
        <v>0.81299999999999994</v>
      </c>
      <c r="AD305">
        <v>45</v>
      </c>
      <c r="AE305">
        <v>0.30499999999999999</v>
      </c>
      <c r="AF305">
        <v>0.5</v>
      </c>
      <c r="AG305">
        <f>(표1[[#This Row],[TB]]-표1[[#This Row],[H]])/표1[[#This Row],[AB]]</f>
        <v>0.12648221343873517</v>
      </c>
      <c r="AH305">
        <f>(표1[[#This Row],[TB]]-표1[[#This Row],[H]]+표1[[#This Row],[BB]]+표1[[#This Row],[SB]]-표1[[#This Row],[CS]])/표1[[#This Row],[AB]]</f>
        <v>0.31027667984189722</v>
      </c>
      <c r="AI305">
        <f>(표1[[#This Row],[TB]]+표1[[#This Row],[BB]]+표1[[#This Row],[HBP]]+표1[[#This Row],[SB]]-표1[[#This Row],[CS]])/(표1[[#This Row],[AB]]-표1[[#This Row],[H]]+표1[[#This Row],[CS]]+표1[[#This Row],[GDP]])</f>
        <v>0.85911602209944748</v>
      </c>
      <c r="AJ30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92.886974358974356</v>
      </c>
      <c r="AK305">
        <f>표1[[#This Row],[RC]]/((표1[[#This Row],[AB]]-표1[[#This Row],[H]]+표1[[#This Row],[SAC]]+표1[[#This Row],[SF]]+표1[[#This Row],[CS]]+표1[[#This Row],[GDP]])/27)</f>
        <v>6.7599684843458432</v>
      </c>
      <c r="AL30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0.35800516351118755</v>
      </c>
      <c r="AM30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88.835999999999984</v>
      </c>
    </row>
    <row r="306" spans="1:39" x14ac:dyDescent="0.3">
      <c r="A306" t="str">
        <f>_xlfn.CONCAT(표1[[#This Row],[Year]],표1[[#This Row],[Player]])</f>
        <v>2009최준석</v>
      </c>
      <c r="B306">
        <v>2009</v>
      </c>
      <c r="C306">
        <v>13</v>
      </c>
      <c r="D306" t="s">
        <v>95</v>
      </c>
      <c r="E306" t="s">
        <v>1</v>
      </c>
      <c r="F306">
        <v>0.30199999999999999</v>
      </c>
      <c r="G306">
        <v>116</v>
      </c>
      <c r="H306">
        <v>417</v>
      </c>
      <c r="I306">
        <v>361</v>
      </c>
      <c r="J306">
        <v>49</v>
      </c>
      <c r="K306">
        <v>109</v>
      </c>
      <c r="L306">
        <f>표1[[#This Row],[H]]-표1[[#This Row],[2B]]-표1[[#This Row],[3B]]-표1[[#This Row],[HR]]</f>
        <v>81</v>
      </c>
      <c r="M306">
        <v>11</v>
      </c>
      <c r="N306">
        <v>0</v>
      </c>
      <c r="O306">
        <v>17</v>
      </c>
      <c r="P306">
        <v>171</v>
      </c>
      <c r="Q306">
        <v>94</v>
      </c>
      <c r="R306">
        <v>0</v>
      </c>
      <c r="S306">
        <v>4</v>
      </c>
      <c r="T306">
        <v>49</v>
      </c>
      <c r="U306">
        <v>1</v>
      </c>
      <c r="V306">
        <v>1</v>
      </c>
      <c r="W306">
        <v>0</v>
      </c>
      <c r="X306">
        <v>3</v>
      </c>
      <c r="Y306">
        <v>77</v>
      </c>
      <c r="Z306">
        <v>13</v>
      </c>
      <c r="AA306">
        <v>0.47399999999999998</v>
      </c>
      <c r="AB306">
        <v>0.38600000000000001</v>
      </c>
      <c r="AC306">
        <v>0.86</v>
      </c>
      <c r="AD306">
        <v>28</v>
      </c>
      <c r="AE306">
        <v>0.39500000000000002</v>
      </c>
      <c r="AF306">
        <v>0.125</v>
      </c>
      <c r="AG306">
        <f>(표1[[#This Row],[TB]]-표1[[#This Row],[H]])/표1[[#This Row],[AB]]</f>
        <v>0.17174515235457063</v>
      </c>
      <c r="AH306">
        <f>(표1[[#This Row],[TB]]-표1[[#This Row],[H]]+표1[[#This Row],[BB]]+표1[[#This Row],[SB]]-표1[[#This Row],[CS]])/표1[[#This Row],[AB]]</f>
        <v>0.31024930747922436</v>
      </c>
      <c r="AI306">
        <f>(표1[[#This Row],[TB]]+표1[[#This Row],[BB]]+표1[[#This Row],[HBP]]+표1[[#This Row],[SB]]-표1[[#This Row],[CS]])/(표1[[#This Row],[AB]]-표1[[#This Row],[H]]+표1[[#This Row],[CS]]+표1[[#This Row],[GDP]])</f>
        <v>0.84528301886792456</v>
      </c>
      <c r="AJ30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66.31961630695443</v>
      </c>
      <c r="AK306">
        <f>표1[[#This Row],[RC]]/((표1[[#This Row],[AB]]-표1[[#This Row],[H]]+표1[[#This Row],[SAC]]+표1[[#This Row],[SF]]+표1[[#This Row],[CS]]+표1[[#This Row],[GDP]])/27)</f>
        <v>6.6566157631515592</v>
      </c>
      <c r="AL30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0.37440144230769223</v>
      </c>
      <c r="AM30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64.044000000000011</v>
      </c>
    </row>
    <row r="307" spans="1:39" x14ac:dyDescent="0.3">
      <c r="A307" t="str">
        <f>_xlfn.CONCAT(표1[[#This Row],[Year]],표1[[#This Row],[Player]])</f>
        <v>2009정성훈</v>
      </c>
      <c r="B307">
        <v>2009</v>
      </c>
      <c r="C307">
        <v>14</v>
      </c>
      <c r="D307" t="s">
        <v>61</v>
      </c>
      <c r="E307" t="s">
        <v>36</v>
      </c>
      <c r="F307">
        <v>0.30099999999999999</v>
      </c>
      <c r="G307">
        <v>121</v>
      </c>
      <c r="H307">
        <v>494</v>
      </c>
      <c r="I307">
        <v>419</v>
      </c>
      <c r="J307">
        <v>62</v>
      </c>
      <c r="K307">
        <v>126</v>
      </c>
      <c r="L307">
        <f>표1[[#This Row],[H]]-표1[[#This Row],[2B]]-표1[[#This Row],[3B]]-표1[[#This Row],[HR]]</f>
        <v>95</v>
      </c>
      <c r="M307">
        <v>19</v>
      </c>
      <c r="N307">
        <v>2</v>
      </c>
      <c r="O307">
        <v>10</v>
      </c>
      <c r="P307">
        <v>179</v>
      </c>
      <c r="Q307">
        <v>70</v>
      </c>
      <c r="R307">
        <v>8</v>
      </c>
      <c r="S307">
        <v>4</v>
      </c>
      <c r="T307">
        <v>59</v>
      </c>
      <c r="U307">
        <v>2</v>
      </c>
      <c r="V307">
        <v>5</v>
      </c>
      <c r="W307">
        <v>0</v>
      </c>
      <c r="X307">
        <v>4</v>
      </c>
      <c r="Y307">
        <v>46</v>
      </c>
      <c r="Z307">
        <v>10</v>
      </c>
      <c r="AA307">
        <v>0.42699999999999999</v>
      </c>
      <c r="AB307">
        <v>0.38900000000000001</v>
      </c>
      <c r="AC307">
        <v>0.81599999999999995</v>
      </c>
      <c r="AD307">
        <v>36</v>
      </c>
      <c r="AE307">
        <v>0.33800000000000002</v>
      </c>
      <c r="AF307">
        <v>0.5</v>
      </c>
      <c r="AG307">
        <f>(표1[[#This Row],[TB]]-표1[[#This Row],[H]])/표1[[#This Row],[AB]]</f>
        <v>0.12649164677804295</v>
      </c>
      <c r="AH307">
        <f>(표1[[#This Row],[TB]]-표1[[#This Row],[H]]+표1[[#This Row],[BB]]+표1[[#This Row],[SB]]-표1[[#This Row],[CS]])/표1[[#This Row],[AB]]</f>
        <v>0.27923627684964203</v>
      </c>
      <c r="AI307">
        <f>(표1[[#This Row],[TB]]+표1[[#This Row],[BB]]+표1[[#This Row],[HBP]]+표1[[#This Row],[SB]]-표1[[#This Row],[CS]])/(표1[[#This Row],[AB]]-표1[[#This Row],[H]]+표1[[#This Row],[CS]]+표1[[#This Row],[GDP]])</f>
        <v>0.81518151815181517</v>
      </c>
      <c r="AJ30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73.810323886639679</v>
      </c>
      <c r="AK307">
        <f>표1[[#This Row],[RC]]/((표1[[#This Row],[AB]]-표1[[#This Row],[H]]+표1[[#This Row],[SAC]]+표1[[#This Row],[SF]]+표1[[#This Row],[CS]]+표1[[#This Row],[GDP]])/27)</f>
        <v>6.3265991902834013</v>
      </c>
      <c r="AL30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0.35930578512396694</v>
      </c>
      <c r="AM30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71.162000000000006</v>
      </c>
    </row>
    <row r="308" spans="1:39" x14ac:dyDescent="0.3">
      <c r="A308" t="str">
        <f>_xlfn.CONCAT(표1[[#This Row],[Year]],표1[[#This Row],[Player]])</f>
        <v>2009김원섭</v>
      </c>
      <c r="B308">
        <v>2009</v>
      </c>
      <c r="C308">
        <v>15</v>
      </c>
      <c r="D308" t="s">
        <v>100</v>
      </c>
      <c r="E308" t="s">
        <v>13</v>
      </c>
      <c r="F308">
        <v>0.30099999999999999</v>
      </c>
      <c r="G308">
        <v>101</v>
      </c>
      <c r="H308">
        <v>426</v>
      </c>
      <c r="I308">
        <v>356</v>
      </c>
      <c r="J308">
        <v>74</v>
      </c>
      <c r="K308">
        <v>107</v>
      </c>
      <c r="L308">
        <f>표1[[#This Row],[H]]-표1[[#This Row],[2B]]-표1[[#This Row],[3B]]-표1[[#This Row],[HR]]</f>
        <v>76</v>
      </c>
      <c r="M308">
        <v>14</v>
      </c>
      <c r="N308">
        <v>9</v>
      </c>
      <c r="O308">
        <v>8</v>
      </c>
      <c r="P308">
        <v>163</v>
      </c>
      <c r="Q308">
        <v>43</v>
      </c>
      <c r="R308">
        <v>5</v>
      </c>
      <c r="S308">
        <v>3</v>
      </c>
      <c r="T308">
        <v>56</v>
      </c>
      <c r="U308">
        <v>1</v>
      </c>
      <c r="V308">
        <v>20</v>
      </c>
      <c r="W308">
        <v>10</v>
      </c>
      <c r="X308">
        <v>6</v>
      </c>
      <c r="Y308">
        <v>55</v>
      </c>
      <c r="Z308">
        <v>8</v>
      </c>
      <c r="AA308">
        <v>0.45800000000000002</v>
      </c>
      <c r="AB308">
        <v>0.40100000000000002</v>
      </c>
      <c r="AC308">
        <v>0.85899999999999999</v>
      </c>
      <c r="AD308">
        <v>27</v>
      </c>
      <c r="AE308">
        <v>0.307</v>
      </c>
      <c r="AF308">
        <v>0.2</v>
      </c>
      <c r="AG308">
        <f>(표1[[#This Row],[TB]]-표1[[#This Row],[H]])/표1[[#This Row],[AB]]</f>
        <v>0.15730337078651685</v>
      </c>
      <c r="AH308">
        <f>(표1[[#This Row],[TB]]-표1[[#This Row],[H]]+표1[[#This Row],[BB]]+표1[[#This Row],[SB]]-표1[[#This Row],[CS]])/표1[[#This Row],[AB]]</f>
        <v>0.34269662921348315</v>
      </c>
      <c r="AI308">
        <f>(표1[[#This Row],[TB]]+표1[[#This Row],[BB]]+표1[[#This Row],[HBP]]+표1[[#This Row],[SB]]-표1[[#This Row],[CS]])/(표1[[#This Row],[AB]]-표1[[#This Row],[H]]+표1[[#This Row],[CS]]+표1[[#This Row],[GDP]])</f>
        <v>0.88014981273408244</v>
      </c>
      <c r="AJ30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68.559671361502353</v>
      </c>
      <c r="AK308">
        <f>표1[[#This Row],[RC]]/((표1[[#This Row],[AB]]-표1[[#This Row],[H]]+표1[[#This Row],[SAC]]+표1[[#This Row],[SF]]+표1[[#This Row],[CS]]+표1[[#This Row],[GDP]])/27)</f>
        <v>6.7313131882202315</v>
      </c>
      <c r="AL30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0.37599999999999995</v>
      </c>
      <c r="AM30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65.849999999999994</v>
      </c>
    </row>
    <row r="309" spans="1:39" x14ac:dyDescent="0.3">
      <c r="A309" t="str">
        <f>_xlfn.CONCAT(표1[[#This Row],[Year]],표1[[#This Row],[Player]])</f>
        <v>2009이진영</v>
      </c>
      <c r="B309">
        <v>2009</v>
      </c>
      <c r="C309">
        <v>16</v>
      </c>
      <c r="D309" t="s">
        <v>7</v>
      </c>
      <c r="E309" t="s">
        <v>36</v>
      </c>
      <c r="F309">
        <v>0.3</v>
      </c>
      <c r="G309">
        <v>120</v>
      </c>
      <c r="H309">
        <v>425</v>
      </c>
      <c r="I309">
        <v>380</v>
      </c>
      <c r="J309">
        <v>50</v>
      </c>
      <c r="K309">
        <v>114</v>
      </c>
      <c r="L309">
        <f>표1[[#This Row],[H]]-표1[[#This Row],[2B]]-표1[[#This Row],[3B]]-표1[[#This Row],[HR]]</f>
        <v>81</v>
      </c>
      <c r="M309">
        <v>18</v>
      </c>
      <c r="N309">
        <v>1</v>
      </c>
      <c r="O309">
        <v>14</v>
      </c>
      <c r="P309">
        <v>176</v>
      </c>
      <c r="Q309">
        <v>69</v>
      </c>
      <c r="R309">
        <v>2</v>
      </c>
      <c r="S309">
        <v>2</v>
      </c>
      <c r="T309">
        <v>40</v>
      </c>
      <c r="U309">
        <v>7</v>
      </c>
      <c r="V309">
        <v>5</v>
      </c>
      <c r="W309">
        <v>2</v>
      </c>
      <c r="X309">
        <v>1</v>
      </c>
      <c r="Y309">
        <v>30</v>
      </c>
      <c r="Z309">
        <v>19</v>
      </c>
      <c r="AA309">
        <v>0.46300000000000002</v>
      </c>
      <c r="AB309">
        <v>0.36599999999999999</v>
      </c>
      <c r="AC309">
        <v>0.82899999999999996</v>
      </c>
      <c r="AD309">
        <v>31</v>
      </c>
      <c r="AE309">
        <v>0.30199999999999999</v>
      </c>
      <c r="AF309">
        <v>0.45</v>
      </c>
      <c r="AG309">
        <f>(표1[[#This Row],[TB]]-표1[[#This Row],[H]])/표1[[#This Row],[AB]]</f>
        <v>0.16315789473684211</v>
      </c>
      <c r="AH309">
        <f>(표1[[#This Row],[TB]]-표1[[#This Row],[H]]+표1[[#This Row],[BB]]+표1[[#This Row],[SB]]-표1[[#This Row],[CS]])/표1[[#This Row],[AB]]</f>
        <v>0.27631578947368424</v>
      </c>
      <c r="AI309">
        <f>(표1[[#This Row],[TB]]+표1[[#This Row],[BB]]+표1[[#This Row],[HBP]]+표1[[#This Row],[SB]]-표1[[#This Row],[CS]])/(표1[[#This Row],[AB]]-표1[[#This Row],[H]]+표1[[#This Row],[CS]]+표1[[#This Row],[GDP]])</f>
        <v>0.76655052264808365</v>
      </c>
      <c r="AJ30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59.754541176470589</v>
      </c>
      <c r="AK309">
        <f>표1[[#This Row],[RC]]/((표1[[#This Row],[AB]]-표1[[#This Row],[H]]+표1[[#This Row],[SAC]]+표1[[#This Row],[SF]]+표1[[#This Row],[CS]]+표1[[#This Row],[GDP]])/27)</f>
        <v>5.5442357792601573</v>
      </c>
      <c r="AL30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0.35615384615384615</v>
      </c>
      <c r="AM30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57.840000000000011</v>
      </c>
    </row>
    <row r="310" spans="1:39" x14ac:dyDescent="0.3">
      <c r="A310" t="str">
        <f>_xlfn.CONCAT(표1[[#This Row],[Year]],표1[[#This Row],[Player]])</f>
        <v>2009이원석</v>
      </c>
      <c r="B310">
        <v>2009</v>
      </c>
      <c r="C310">
        <v>17</v>
      </c>
      <c r="D310" t="s">
        <v>93</v>
      </c>
      <c r="E310" t="s">
        <v>1</v>
      </c>
      <c r="F310">
        <v>0.29799999999999999</v>
      </c>
      <c r="G310">
        <v>125</v>
      </c>
      <c r="H310">
        <v>414</v>
      </c>
      <c r="I310">
        <v>376</v>
      </c>
      <c r="J310">
        <v>49</v>
      </c>
      <c r="K310">
        <v>112</v>
      </c>
      <c r="L310">
        <f>표1[[#This Row],[H]]-표1[[#This Row],[2B]]-표1[[#This Row],[3B]]-표1[[#This Row],[HR]]</f>
        <v>79</v>
      </c>
      <c r="M310">
        <v>20</v>
      </c>
      <c r="N310">
        <v>4</v>
      </c>
      <c r="O310">
        <v>9</v>
      </c>
      <c r="P310">
        <v>167</v>
      </c>
      <c r="Q310">
        <v>53</v>
      </c>
      <c r="R310">
        <v>0</v>
      </c>
      <c r="S310">
        <v>5</v>
      </c>
      <c r="T310">
        <v>28</v>
      </c>
      <c r="U310">
        <v>2</v>
      </c>
      <c r="V310">
        <v>2</v>
      </c>
      <c r="W310">
        <v>6</v>
      </c>
      <c r="X310">
        <v>5</v>
      </c>
      <c r="Y310">
        <v>52</v>
      </c>
      <c r="Z310">
        <v>15</v>
      </c>
      <c r="AA310">
        <v>0.44400000000000001</v>
      </c>
      <c r="AB310">
        <v>0.35</v>
      </c>
      <c r="AC310">
        <v>0.79400000000000004</v>
      </c>
      <c r="AD310">
        <v>30</v>
      </c>
      <c r="AE310">
        <v>0.23799999999999999</v>
      </c>
      <c r="AF310">
        <v>0</v>
      </c>
      <c r="AG310">
        <f>(표1[[#This Row],[TB]]-표1[[#This Row],[H]])/표1[[#This Row],[AB]]</f>
        <v>0.14627659574468085</v>
      </c>
      <c r="AH310">
        <f>(표1[[#This Row],[TB]]-표1[[#This Row],[H]]+표1[[#This Row],[BB]]+표1[[#This Row],[SB]]-표1[[#This Row],[CS]])/표1[[#This Row],[AB]]</f>
        <v>0.21010638297872342</v>
      </c>
      <c r="AI310">
        <f>(표1[[#This Row],[TB]]+표1[[#This Row],[BB]]+표1[[#This Row],[HBP]]+표1[[#This Row],[SB]]-표1[[#This Row],[CS]])/(표1[[#This Row],[AB]]-표1[[#This Row],[H]]+표1[[#This Row],[CS]]+표1[[#This Row],[GDP]])</f>
        <v>0.68771929824561406</v>
      </c>
      <c r="AJ31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53.523671497584537</v>
      </c>
      <c r="AK310">
        <f>표1[[#This Row],[RC]]/((표1[[#This Row],[AB]]-표1[[#This Row],[H]]+표1[[#This Row],[SAC]]+표1[[#This Row],[SF]]+표1[[#This Row],[CS]]+표1[[#This Row],[GDP]])/27)</f>
        <v>4.9832383808095946</v>
      </c>
      <c r="AL31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0.34331553398058251</v>
      </c>
      <c r="AM31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52.624000000000002</v>
      </c>
    </row>
    <row r="311" spans="1:39" x14ac:dyDescent="0.3">
      <c r="A311" t="str">
        <f>_xlfn.CONCAT(표1[[#This Row],[Year]],표1[[#This Row],[Player]])</f>
        <v>2009이숭용</v>
      </c>
      <c r="B311">
        <v>2009</v>
      </c>
      <c r="C311">
        <v>18</v>
      </c>
      <c r="D311" t="s">
        <v>22</v>
      </c>
      <c r="E311" t="s">
        <v>113</v>
      </c>
      <c r="F311">
        <v>0.29599999999999999</v>
      </c>
      <c r="G311">
        <v>114</v>
      </c>
      <c r="H311">
        <v>422</v>
      </c>
      <c r="I311">
        <v>362</v>
      </c>
      <c r="J311">
        <v>47</v>
      </c>
      <c r="K311">
        <v>107</v>
      </c>
      <c r="L311">
        <f>표1[[#This Row],[H]]-표1[[#This Row],[2B]]-표1[[#This Row],[3B]]-표1[[#This Row],[HR]]</f>
        <v>80</v>
      </c>
      <c r="M311">
        <v>20</v>
      </c>
      <c r="N311">
        <v>3</v>
      </c>
      <c r="O311">
        <v>4</v>
      </c>
      <c r="P311">
        <v>145</v>
      </c>
      <c r="Q311">
        <v>52</v>
      </c>
      <c r="R311">
        <v>4</v>
      </c>
      <c r="S311">
        <v>6</v>
      </c>
      <c r="T311">
        <v>48</v>
      </c>
      <c r="U311">
        <v>1</v>
      </c>
      <c r="V311">
        <v>8</v>
      </c>
      <c r="W311">
        <v>3</v>
      </c>
      <c r="X311">
        <v>2</v>
      </c>
      <c r="Y311">
        <v>44</v>
      </c>
      <c r="Z311">
        <v>7</v>
      </c>
      <c r="AA311">
        <v>0.40100000000000002</v>
      </c>
      <c r="AB311">
        <v>0.376</v>
      </c>
      <c r="AC311">
        <v>0.77700000000000002</v>
      </c>
      <c r="AD311">
        <v>28</v>
      </c>
      <c r="AE311">
        <v>0.311</v>
      </c>
      <c r="AF311">
        <v>0</v>
      </c>
      <c r="AG311">
        <f>(표1[[#This Row],[TB]]-표1[[#This Row],[H]])/표1[[#This Row],[AB]]</f>
        <v>0.10497237569060773</v>
      </c>
      <c r="AH311">
        <f>(표1[[#This Row],[TB]]-표1[[#This Row],[H]]+표1[[#This Row],[BB]]+표1[[#This Row],[SB]]-표1[[#This Row],[CS]])/표1[[#This Row],[AB]]</f>
        <v>0.25138121546961328</v>
      </c>
      <c r="AI311">
        <f>(표1[[#This Row],[TB]]+표1[[#This Row],[BB]]+표1[[#This Row],[HBP]]+표1[[#This Row],[SB]]-표1[[#This Row],[CS]])/(표1[[#This Row],[AB]]-표1[[#This Row],[H]]+표1[[#This Row],[CS]]+표1[[#This Row],[GDP]])</f>
        <v>0.75471698113207553</v>
      </c>
      <c r="AJ31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58.207819905213277</v>
      </c>
      <c r="AK311">
        <f>표1[[#This Row],[RC]]/((표1[[#This Row],[AB]]-표1[[#This Row],[H]]+표1[[#This Row],[SAC]]+표1[[#This Row],[SF]]+표1[[#This Row],[CS]]+표1[[#This Row],[GDP]])/27)</f>
        <v>5.7149495906936671</v>
      </c>
      <c r="AL31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0.34242685851318938</v>
      </c>
      <c r="AM31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57.157999999999987</v>
      </c>
    </row>
    <row r="312" spans="1:39" x14ac:dyDescent="0.3">
      <c r="A312" t="str">
        <f>_xlfn.CONCAT(표1[[#This Row],[Year]],표1[[#This Row],[Player]])</f>
        <v>2009박재상</v>
      </c>
      <c r="B312">
        <v>2009</v>
      </c>
      <c r="C312">
        <v>19</v>
      </c>
      <c r="D312" t="s">
        <v>116</v>
      </c>
      <c r="E312" t="s">
        <v>8</v>
      </c>
      <c r="F312">
        <v>0.29499999999999998</v>
      </c>
      <c r="G312">
        <v>133</v>
      </c>
      <c r="H312">
        <v>614</v>
      </c>
      <c r="I312">
        <v>515</v>
      </c>
      <c r="J312">
        <v>84</v>
      </c>
      <c r="K312">
        <v>152</v>
      </c>
      <c r="L312">
        <f>표1[[#This Row],[H]]-표1[[#This Row],[2B]]-표1[[#This Row],[3B]]-표1[[#This Row],[HR]]</f>
        <v>102</v>
      </c>
      <c r="M312">
        <v>31</v>
      </c>
      <c r="N312">
        <v>4</v>
      </c>
      <c r="O312">
        <v>15</v>
      </c>
      <c r="P312">
        <v>236</v>
      </c>
      <c r="Q312">
        <v>81</v>
      </c>
      <c r="R312">
        <v>20</v>
      </c>
      <c r="S312">
        <v>5</v>
      </c>
      <c r="T312">
        <v>68</v>
      </c>
      <c r="U312">
        <v>1</v>
      </c>
      <c r="V312">
        <v>33</v>
      </c>
      <c r="W312">
        <v>11</v>
      </c>
      <c r="X312">
        <v>6</v>
      </c>
      <c r="Y312">
        <v>107</v>
      </c>
      <c r="Z312">
        <v>7</v>
      </c>
      <c r="AA312">
        <v>0.45800000000000002</v>
      </c>
      <c r="AB312">
        <v>0.38</v>
      </c>
      <c r="AC312">
        <v>0.83799999999999997</v>
      </c>
      <c r="AD312">
        <v>40</v>
      </c>
      <c r="AE312">
        <v>0.24099999999999999</v>
      </c>
      <c r="AF312">
        <v>0</v>
      </c>
      <c r="AG312">
        <f>(표1[[#This Row],[TB]]-표1[[#This Row],[H]])/표1[[#This Row],[AB]]</f>
        <v>0.16310679611650486</v>
      </c>
      <c r="AH312">
        <f>(표1[[#This Row],[TB]]-표1[[#This Row],[H]]+표1[[#This Row],[BB]]+표1[[#This Row],[SB]]-표1[[#This Row],[CS]])/표1[[#This Row],[AB]]</f>
        <v>0.3378640776699029</v>
      </c>
      <c r="AI312">
        <f>(표1[[#This Row],[TB]]+표1[[#This Row],[BB]]+표1[[#This Row],[HBP]]+표1[[#This Row],[SB]]-표1[[#This Row],[CS]])/(표1[[#This Row],[AB]]-표1[[#This Row],[H]]+표1[[#This Row],[CS]]+표1[[#This Row],[GDP]])</f>
        <v>0.87139107611548561</v>
      </c>
      <c r="AJ31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96.59465798045602</v>
      </c>
      <c r="AK312">
        <f>표1[[#This Row],[RC]]/((표1[[#This Row],[AB]]-표1[[#This Row],[H]]+표1[[#This Row],[SAC]]+표1[[#This Row],[SF]]+표1[[#This Row],[CS]]+표1[[#This Row],[GDP]])/27)</f>
        <v>6.4237826735771248</v>
      </c>
      <c r="AL31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0.36594603709949414</v>
      </c>
      <c r="AM31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93.103999999999985</v>
      </c>
    </row>
    <row r="313" spans="1:39" x14ac:dyDescent="0.3">
      <c r="A313" t="str">
        <f>_xlfn.CONCAT(표1[[#This Row],[Year]],표1[[#This Row],[Player]])</f>
        <v>2009채태인</v>
      </c>
      <c r="B313">
        <v>2009</v>
      </c>
      <c r="C313">
        <v>20</v>
      </c>
      <c r="D313" t="s">
        <v>117</v>
      </c>
      <c r="E313" t="s">
        <v>6</v>
      </c>
      <c r="F313">
        <v>0.29299999999999998</v>
      </c>
      <c r="G313">
        <v>118</v>
      </c>
      <c r="H313">
        <v>425</v>
      </c>
      <c r="I313">
        <v>368</v>
      </c>
      <c r="J313">
        <v>58</v>
      </c>
      <c r="K313">
        <v>108</v>
      </c>
      <c r="L313">
        <f>표1[[#This Row],[H]]-표1[[#This Row],[2B]]-표1[[#This Row],[3B]]-표1[[#This Row],[HR]]</f>
        <v>63</v>
      </c>
      <c r="M313">
        <v>26</v>
      </c>
      <c r="N313">
        <v>2</v>
      </c>
      <c r="O313">
        <v>17</v>
      </c>
      <c r="P313">
        <v>189</v>
      </c>
      <c r="Q313">
        <v>72</v>
      </c>
      <c r="R313">
        <v>1</v>
      </c>
      <c r="S313">
        <v>2</v>
      </c>
      <c r="T313">
        <v>49</v>
      </c>
      <c r="U313">
        <v>4</v>
      </c>
      <c r="V313">
        <v>0</v>
      </c>
      <c r="W313">
        <v>0</v>
      </c>
      <c r="X313">
        <v>5</v>
      </c>
      <c r="Y313">
        <v>90</v>
      </c>
      <c r="Z313">
        <v>4</v>
      </c>
      <c r="AA313">
        <v>0.51400000000000001</v>
      </c>
      <c r="AB313">
        <v>0.38200000000000001</v>
      </c>
      <c r="AC313">
        <v>0.89600000000000002</v>
      </c>
      <c r="AD313">
        <v>31</v>
      </c>
      <c r="AE313">
        <v>0.28999999999999998</v>
      </c>
      <c r="AF313">
        <v>0.71399999999999997</v>
      </c>
      <c r="AG313">
        <f>(표1[[#This Row],[TB]]-표1[[#This Row],[H]])/표1[[#This Row],[AB]]</f>
        <v>0.22010869565217392</v>
      </c>
      <c r="AH313">
        <f>(표1[[#This Row],[TB]]-표1[[#This Row],[H]]+표1[[#This Row],[BB]]+표1[[#This Row],[SB]]-표1[[#This Row],[CS]])/표1[[#This Row],[AB]]</f>
        <v>0.35326086956521741</v>
      </c>
      <c r="AI313">
        <f>(표1[[#This Row],[TB]]+표1[[#This Row],[BB]]+표1[[#This Row],[HBP]]+표1[[#This Row],[SB]]-표1[[#This Row],[CS]])/(표1[[#This Row],[AB]]-표1[[#This Row],[H]]+표1[[#This Row],[CS]]+표1[[#This Row],[GDP]])</f>
        <v>0.92045454545454541</v>
      </c>
      <c r="AJ31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75.676423529411764</v>
      </c>
      <c r="AK313">
        <f>표1[[#This Row],[RC]]/((표1[[#This Row],[AB]]-표1[[#This Row],[H]]+표1[[#This Row],[SAC]]+표1[[#This Row],[SF]]+표1[[#This Row],[CS]]+표1[[#This Row],[GDP]])/27)</f>
        <v>7.6526720423000656</v>
      </c>
      <c r="AL31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0.38393095238095232</v>
      </c>
      <c r="AM31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69.959999999999994</v>
      </c>
    </row>
    <row r="314" spans="1:39" x14ac:dyDescent="0.3">
      <c r="A314" t="str">
        <f>_xlfn.CONCAT(표1[[#This Row],[Year]],표1[[#This Row],[Player]])</f>
        <v>2009이대호</v>
      </c>
      <c r="B314">
        <v>2009</v>
      </c>
      <c r="C314">
        <v>21</v>
      </c>
      <c r="D314" t="s">
        <v>64</v>
      </c>
      <c r="E314" t="s">
        <v>17</v>
      </c>
      <c r="F314">
        <v>0.29299999999999998</v>
      </c>
      <c r="G314">
        <v>133</v>
      </c>
      <c r="H314">
        <v>549</v>
      </c>
      <c r="I314">
        <v>478</v>
      </c>
      <c r="J314">
        <v>73</v>
      </c>
      <c r="K314">
        <v>140</v>
      </c>
      <c r="L314">
        <f>표1[[#This Row],[H]]-표1[[#This Row],[2B]]-표1[[#This Row],[3B]]-표1[[#This Row],[HR]]</f>
        <v>83</v>
      </c>
      <c r="M314">
        <v>28</v>
      </c>
      <c r="N314">
        <v>1</v>
      </c>
      <c r="O314">
        <v>28</v>
      </c>
      <c r="P314">
        <v>254</v>
      </c>
      <c r="Q314">
        <v>100</v>
      </c>
      <c r="R314">
        <v>0</v>
      </c>
      <c r="S314">
        <v>4</v>
      </c>
      <c r="T314">
        <v>51</v>
      </c>
      <c r="U314">
        <v>3</v>
      </c>
      <c r="V314">
        <v>0</v>
      </c>
      <c r="W314">
        <v>0</v>
      </c>
      <c r="X314">
        <v>16</v>
      </c>
      <c r="Y314">
        <v>65</v>
      </c>
      <c r="Z314">
        <v>13</v>
      </c>
      <c r="AA314">
        <v>0.53100000000000003</v>
      </c>
      <c r="AB314">
        <v>0.377</v>
      </c>
      <c r="AC314">
        <v>0.90800000000000003</v>
      </c>
      <c r="AD314">
        <v>41</v>
      </c>
      <c r="AE314">
        <v>0.29899999999999999</v>
      </c>
      <c r="AF314">
        <v>0.5</v>
      </c>
      <c r="AG314">
        <f>(표1[[#This Row],[TB]]-표1[[#This Row],[H]])/표1[[#This Row],[AB]]</f>
        <v>0.2384937238493724</v>
      </c>
      <c r="AH314">
        <f>(표1[[#This Row],[TB]]-표1[[#This Row],[H]]+표1[[#This Row],[BB]]+표1[[#This Row],[SB]]-표1[[#This Row],[CS]])/표1[[#This Row],[AB]]</f>
        <v>0.34518828451882844</v>
      </c>
      <c r="AI314">
        <f>(표1[[#This Row],[TB]]+표1[[#This Row],[BB]]+표1[[#This Row],[HBP]]+표1[[#This Row],[SB]]-표1[[#This Row],[CS]])/(표1[[#This Row],[AB]]-표1[[#This Row],[H]]+표1[[#This Row],[CS]]+표1[[#This Row],[GDP]])</f>
        <v>0.9145299145299145</v>
      </c>
      <c r="AJ31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96.371001821493607</v>
      </c>
      <c r="AK314">
        <f>표1[[#This Row],[RC]]/((표1[[#This Row],[AB]]-표1[[#This Row],[H]]+표1[[#This Row],[SAC]]+표1[[#This Row],[SF]]+표1[[#This Row],[CS]]+표1[[#This Row],[GDP]])/27)</f>
        <v>7.3296254906488087</v>
      </c>
      <c r="AL31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0.38920329670329668</v>
      </c>
      <c r="AM31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91.26</v>
      </c>
    </row>
    <row r="315" spans="1:39" x14ac:dyDescent="0.3">
      <c r="A315" t="str">
        <f>_xlfn.CONCAT(표1[[#This Row],[Year]],표1[[#This Row],[Player]])</f>
        <v>2009신명철</v>
      </c>
      <c r="B315">
        <v>2009</v>
      </c>
      <c r="C315">
        <v>22</v>
      </c>
      <c r="D315" t="s">
        <v>75</v>
      </c>
      <c r="E315" t="s">
        <v>6</v>
      </c>
      <c r="F315">
        <v>0.29099999999999998</v>
      </c>
      <c r="G315">
        <v>124</v>
      </c>
      <c r="H315">
        <v>485</v>
      </c>
      <c r="I315">
        <v>423</v>
      </c>
      <c r="J315">
        <v>71</v>
      </c>
      <c r="K315">
        <v>123</v>
      </c>
      <c r="L315">
        <f>표1[[#This Row],[H]]-표1[[#This Row],[2B]]-표1[[#This Row],[3B]]-표1[[#This Row],[HR]]</f>
        <v>84</v>
      </c>
      <c r="M315">
        <v>17</v>
      </c>
      <c r="N315">
        <v>2</v>
      </c>
      <c r="O315">
        <v>20</v>
      </c>
      <c r="P315">
        <v>204</v>
      </c>
      <c r="Q315">
        <v>61</v>
      </c>
      <c r="R315">
        <v>10</v>
      </c>
      <c r="S315">
        <v>3</v>
      </c>
      <c r="T315">
        <v>48</v>
      </c>
      <c r="U315">
        <v>1</v>
      </c>
      <c r="V315">
        <v>21</v>
      </c>
      <c r="W315">
        <v>6</v>
      </c>
      <c r="X315">
        <v>1</v>
      </c>
      <c r="Y315">
        <v>72</v>
      </c>
      <c r="Z315">
        <v>10</v>
      </c>
      <c r="AA315">
        <v>0.48199999999999998</v>
      </c>
      <c r="AB315">
        <v>0.36199999999999999</v>
      </c>
      <c r="AC315">
        <v>0.84399999999999997</v>
      </c>
      <c r="AD315">
        <v>36</v>
      </c>
      <c r="AE315">
        <v>0.28599999999999998</v>
      </c>
      <c r="AF315">
        <v>0.66700000000000004</v>
      </c>
      <c r="AG315">
        <f>(표1[[#This Row],[TB]]-표1[[#This Row],[H]])/표1[[#This Row],[AB]]</f>
        <v>0.19148936170212766</v>
      </c>
      <c r="AH315">
        <f>(표1[[#This Row],[TB]]-표1[[#This Row],[H]]+표1[[#This Row],[BB]]+표1[[#This Row],[SB]]-표1[[#This Row],[CS]])/표1[[#This Row],[AB]]</f>
        <v>0.34042553191489361</v>
      </c>
      <c r="AI315">
        <f>(표1[[#This Row],[TB]]+표1[[#This Row],[BB]]+표1[[#This Row],[HBP]]+표1[[#This Row],[SB]]-표1[[#This Row],[CS]])/(표1[[#This Row],[AB]]-표1[[#This Row],[H]]+표1[[#This Row],[CS]]+표1[[#This Row],[GDP]])</f>
        <v>0.84810126582278478</v>
      </c>
      <c r="AJ31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75.317443298969067</v>
      </c>
      <c r="AK315">
        <f>표1[[#This Row],[RC]]/((표1[[#This Row],[AB]]-표1[[#This Row],[H]]+표1[[#This Row],[SAC]]+표1[[#This Row],[SF]]+표1[[#This Row],[CS]]+표1[[#This Row],[GDP]])/27)</f>
        <v>6.1810667752953341</v>
      </c>
      <c r="AL31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0.36533755274261609</v>
      </c>
      <c r="AM31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73.78400000000002</v>
      </c>
    </row>
    <row r="316" spans="1:39" x14ac:dyDescent="0.3">
      <c r="A316" t="str">
        <f>_xlfn.CONCAT(표1[[#This Row],[Year]],표1[[#This Row],[Player]])</f>
        <v>2009클락</v>
      </c>
      <c r="B316">
        <v>2009</v>
      </c>
      <c r="C316">
        <v>23</v>
      </c>
      <c r="D316" t="s">
        <v>110</v>
      </c>
      <c r="E316" t="s">
        <v>113</v>
      </c>
      <c r="F316">
        <v>0.28999999999999998</v>
      </c>
      <c r="G316">
        <v>125</v>
      </c>
      <c r="H316">
        <v>559</v>
      </c>
      <c r="I316">
        <v>486</v>
      </c>
      <c r="J316">
        <v>85</v>
      </c>
      <c r="K316">
        <v>141</v>
      </c>
      <c r="L316">
        <f>표1[[#This Row],[H]]-표1[[#This Row],[2B]]-표1[[#This Row],[3B]]-표1[[#This Row],[HR]]</f>
        <v>89</v>
      </c>
      <c r="M316">
        <v>24</v>
      </c>
      <c r="N316">
        <v>4</v>
      </c>
      <c r="O316">
        <v>24</v>
      </c>
      <c r="P316">
        <v>245</v>
      </c>
      <c r="Q316">
        <v>90</v>
      </c>
      <c r="R316">
        <v>0</v>
      </c>
      <c r="S316">
        <v>2</v>
      </c>
      <c r="T316">
        <v>65</v>
      </c>
      <c r="U316">
        <v>2</v>
      </c>
      <c r="V316">
        <v>23</v>
      </c>
      <c r="W316">
        <v>8</v>
      </c>
      <c r="X316">
        <v>3</v>
      </c>
      <c r="Y316">
        <v>85</v>
      </c>
      <c r="Z316">
        <v>14</v>
      </c>
      <c r="AA316">
        <v>0.504</v>
      </c>
      <c r="AB316">
        <v>0.376</v>
      </c>
      <c r="AC316">
        <v>0.88</v>
      </c>
      <c r="AD316">
        <v>39</v>
      </c>
      <c r="AE316">
        <v>0.32</v>
      </c>
      <c r="AF316">
        <v>0</v>
      </c>
      <c r="AG316">
        <f>(표1[[#This Row],[TB]]-표1[[#This Row],[H]])/표1[[#This Row],[AB]]</f>
        <v>0.2139917695473251</v>
      </c>
      <c r="AH316">
        <f>(표1[[#This Row],[TB]]-표1[[#This Row],[H]]+표1[[#This Row],[BB]]+표1[[#This Row],[SB]]-표1[[#This Row],[CS]])/표1[[#This Row],[AB]]</f>
        <v>0.37860082304526749</v>
      </c>
      <c r="AI316">
        <f>(표1[[#This Row],[TB]]+표1[[#This Row],[BB]]+표1[[#This Row],[HBP]]+표1[[#This Row],[SB]]-표1[[#This Row],[CS]])/(표1[[#This Row],[AB]]-표1[[#This Row],[H]]+표1[[#This Row],[CS]]+표1[[#This Row],[GDP]])</f>
        <v>0.89373297002724794</v>
      </c>
      <c r="AJ31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92.544820143884905</v>
      </c>
      <c r="AK316">
        <f>표1[[#This Row],[RC]]/((표1[[#This Row],[AB]]-표1[[#This Row],[H]]+표1[[#This Row],[SAC]]+표1[[#This Row],[SF]]+표1[[#This Row],[CS]]+표1[[#This Row],[GDP]])/27)</f>
        <v>6.7715722056501155</v>
      </c>
      <c r="AL31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0.37961552346570399</v>
      </c>
      <c r="AM31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88.84999999999998</v>
      </c>
    </row>
    <row r="317" spans="1:39" x14ac:dyDescent="0.3">
      <c r="A317" t="str">
        <f>_xlfn.CONCAT(표1[[#This Row],[Year]],표1[[#This Row],[Player]])</f>
        <v>2009김태완</v>
      </c>
      <c r="B317">
        <v>2009</v>
      </c>
      <c r="C317">
        <v>24</v>
      </c>
      <c r="D317" t="s">
        <v>107</v>
      </c>
      <c r="E317" t="s">
        <v>11</v>
      </c>
      <c r="F317">
        <v>0.28899999999999998</v>
      </c>
      <c r="G317">
        <v>112</v>
      </c>
      <c r="H317">
        <v>446</v>
      </c>
      <c r="I317">
        <v>360</v>
      </c>
      <c r="J317">
        <v>62</v>
      </c>
      <c r="K317">
        <v>104</v>
      </c>
      <c r="L317">
        <f>표1[[#This Row],[H]]-표1[[#This Row],[2B]]-표1[[#This Row],[3B]]-표1[[#This Row],[HR]]</f>
        <v>62</v>
      </c>
      <c r="M317">
        <v>17</v>
      </c>
      <c r="N317">
        <v>2</v>
      </c>
      <c r="O317">
        <v>23</v>
      </c>
      <c r="P317">
        <v>194</v>
      </c>
      <c r="Q317">
        <v>68</v>
      </c>
      <c r="R317">
        <v>0</v>
      </c>
      <c r="S317">
        <v>3</v>
      </c>
      <c r="T317">
        <v>72</v>
      </c>
      <c r="U317">
        <v>4</v>
      </c>
      <c r="V317">
        <v>1</v>
      </c>
      <c r="W317">
        <v>1</v>
      </c>
      <c r="X317">
        <v>11</v>
      </c>
      <c r="Y317">
        <v>89</v>
      </c>
      <c r="Z317">
        <v>6</v>
      </c>
      <c r="AA317">
        <v>0.53900000000000003</v>
      </c>
      <c r="AB317">
        <v>0.41899999999999998</v>
      </c>
      <c r="AC317">
        <v>0.95799999999999996</v>
      </c>
      <c r="AD317">
        <v>29</v>
      </c>
      <c r="AE317">
        <v>0.27900000000000003</v>
      </c>
      <c r="AF317">
        <v>0.125</v>
      </c>
      <c r="AG317">
        <f>(표1[[#This Row],[TB]]-표1[[#This Row],[H]])/표1[[#This Row],[AB]]</f>
        <v>0.25</v>
      </c>
      <c r="AH317">
        <f>(표1[[#This Row],[TB]]-표1[[#This Row],[H]]+표1[[#This Row],[BB]]+표1[[#This Row],[SB]]-표1[[#This Row],[CS]])/표1[[#This Row],[AB]]</f>
        <v>0.45</v>
      </c>
      <c r="AI317">
        <f>(표1[[#This Row],[TB]]+표1[[#This Row],[BB]]+표1[[#This Row],[HBP]]+표1[[#This Row],[SB]]-표1[[#This Row],[CS]])/(표1[[#This Row],[AB]]-표1[[#This Row],[H]]+표1[[#This Row],[CS]]+표1[[#This Row],[GDP]])</f>
        <v>1.0532319391634981</v>
      </c>
      <c r="AJ31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87.42511210762332</v>
      </c>
      <c r="AK317">
        <f>표1[[#This Row],[RC]]/((표1[[#This Row],[AB]]-표1[[#This Row],[H]]+표1[[#This Row],[SAC]]+표1[[#This Row],[SF]]+표1[[#This Row],[CS]]+표1[[#This Row],[GDP]])/27)</f>
        <v>8.873977544758759</v>
      </c>
      <c r="AL31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0.41092081447963802</v>
      </c>
      <c r="AM31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81.298000000000016</v>
      </c>
    </row>
    <row r="318" spans="1:39" x14ac:dyDescent="0.3">
      <c r="A318" t="str">
        <f>_xlfn.CONCAT(표1[[#This Row],[Year]],표1[[#This Row],[Player]])</f>
        <v>2009손시헌</v>
      </c>
      <c r="B318">
        <v>2009</v>
      </c>
      <c r="C318">
        <v>25</v>
      </c>
      <c r="D318" t="s">
        <v>71</v>
      </c>
      <c r="E318" t="s">
        <v>1</v>
      </c>
      <c r="F318">
        <v>0.28899999999999998</v>
      </c>
      <c r="G318">
        <v>121</v>
      </c>
      <c r="H318">
        <v>476</v>
      </c>
      <c r="I318">
        <v>412</v>
      </c>
      <c r="J318">
        <v>56</v>
      </c>
      <c r="K318">
        <v>119</v>
      </c>
      <c r="L318">
        <f>표1[[#This Row],[H]]-표1[[#This Row],[2B]]-표1[[#This Row],[3B]]-표1[[#This Row],[HR]]</f>
        <v>83</v>
      </c>
      <c r="M318">
        <v>22</v>
      </c>
      <c r="N318">
        <v>3</v>
      </c>
      <c r="O318">
        <v>11</v>
      </c>
      <c r="P318">
        <v>180</v>
      </c>
      <c r="Q318">
        <v>59</v>
      </c>
      <c r="R318">
        <v>7</v>
      </c>
      <c r="S318">
        <v>3</v>
      </c>
      <c r="T318">
        <v>42</v>
      </c>
      <c r="U318">
        <v>1</v>
      </c>
      <c r="V318">
        <v>6</v>
      </c>
      <c r="W318">
        <v>3</v>
      </c>
      <c r="X318">
        <v>12</v>
      </c>
      <c r="Y318">
        <v>67</v>
      </c>
      <c r="Z318">
        <v>5</v>
      </c>
      <c r="AA318">
        <v>0.437</v>
      </c>
      <c r="AB318">
        <v>0.36899999999999999</v>
      </c>
      <c r="AC318">
        <v>0.80600000000000005</v>
      </c>
      <c r="AD318">
        <v>31</v>
      </c>
      <c r="AE318">
        <v>0.32200000000000001</v>
      </c>
      <c r="AF318">
        <v>0</v>
      </c>
      <c r="AG318">
        <f>(표1[[#This Row],[TB]]-표1[[#This Row],[H]])/표1[[#This Row],[AB]]</f>
        <v>0.14805825242718446</v>
      </c>
      <c r="AH318">
        <f>(표1[[#This Row],[TB]]-표1[[#This Row],[H]]+표1[[#This Row],[BB]]+표1[[#This Row],[SB]]-표1[[#This Row],[CS]])/표1[[#This Row],[AB]]</f>
        <v>0.25728155339805825</v>
      </c>
      <c r="AI318">
        <f>(표1[[#This Row],[TB]]+표1[[#This Row],[BB]]+표1[[#This Row],[HBP]]+표1[[#This Row],[SB]]-표1[[#This Row],[CS]])/(표1[[#This Row],[AB]]-표1[[#This Row],[H]]+표1[[#This Row],[CS]]+표1[[#This Row],[GDP]])</f>
        <v>0.78737541528239208</v>
      </c>
      <c r="AJ31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70.055672268907557</v>
      </c>
      <c r="AK318">
        <f>표1[[#This Row],[RC]]/((표1[[#This Row],[AB]]-표1[[#This Row],[H]]+표1[[#This Row],[SAC]]+표1[[#This Row],[SF]]+표1[[#This Row],[CS]]+표1[[#This Row],[GDP]])/27)</f>
        <v>6.0820037018022637</v>
      </c>
      <c r="AL31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0.35349999999999998</v>
      </c>
      <c r="AM31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67.323999999999998</v>
      </c>
    </row>
    <row r="319" spans="1:39" x14ac:dyDescent="0.3">
      <c r="A319" t="str">
        <f>_xlfn.CONCAT(표1[[#This Row],[Year]],표1[[#This Row],[Player]])</f>
        <v>2009송지만</v>
      </c>
      <c r="B319">
        <v>2009</v>
      </c>
      <c r="C319">
        <v>26</v>
      </c>
      <c r="D319" t="s">
        <v>62</v>
      </c>
      <c r="E319" t="s">
        <v>113</v>
      </c>
      <c r="F319">
        <v>0.28899999999999998</v>
      </c>
      <c r="G319">
        <v>115</v>
      </c>
      <c r="H319">
        <v>439</v>
      </c>
      <c r="I319">
        <v>374</v>
      </c>
      <c r="J319">
        <v>69</v>
      </c>
      <c r="K319">
        <v>108</v>
      </c>
      <c r="L319">
        <f>표1[[#This Row],[H]]-표1[[#This Row],[2B]]-표1[[#This Row],[3B]]-표1[[#This Row],[HR]]</f>
        <v>68</v>
      </c>
      <c r="M319">
        <v>15</v>
      </c>
      <c r="N319">
        <v>3</v>
      </c>
      <c r="O319">
        <v>22</v>
      </c>
      <c r="P319">
        <v>195</v>
      </c>
      <c r="Q319">
        <v>67</v>
      </c>
      <c r="R319">
        <v>1</v>
      </c>
      <c r="S319">
        <v>4</v>
      </c>
      <c r="T319">
        <v>52</v>
      </c>
      <c r="U319">
        <v>2</v>
      </c>
      <c r="V319">
        <v>10</v>
      </c>
      <c r="W319">
        <v>3</v>
      </c>
      <c r="X319">
        <v>8</v>
      </c>
      <c r="Y319">
        <v>122</v>
      </c>
      <c r="Z319">
        <v>10</v>
      </c>
      <c r="AA319">
        <v>0.52100000000000002</v>
      </c>
      <c r="AB319">
        <v>0.38400000000000001</v>
      </c>
      <c r="AC319">
        <v>0.90500000000000003</v>
      </c>
      <c r="AD319">
        <v>29</v>
      </c>
      <c r="AE319">
        <v>0.27500000000000002</v>
      </c>
      <c r="AF319">
        <v>0.28599999999999998</v>
      </c>
      <c r="AG319">
        <f>(표1[[#This Row],[TB]]-표1[[#This Row],[H]])/표1[[#This Row],[AB]]</f>
        <v>0.23262032085561499</v>
      </c>
      <c r="AH319">
        <f>(표1[[#This Row],[TB]]-표1[[#This Row],[H]]+표1[[#This Row],[BB]]+표1[[#This Row],[SB]]-표1[[#This Row],[CS]])/표1[[#This Row],[AB]]</f>
        <v>0.39037433155080214</v>
      </c>
      <c r="AI319">
        <f>(표1[[#This Row],[TB]]+표1[[#This Row],[BB]]+표1[[#This Row],[HBP]]+표1[[#This Row],[SB]]-표1[[#This Row],[CS]])/(표1[[#This Row],[AB]]-표1[[#This Row],[H]]+표1[[#This Row],[CS]]+표1[[#This Row],[GDP]])</f>
        <v>0.93906810035842292</v>
      </c>
      <c r="AJ31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76.928018223234631</v>
      </c>
      <c r="AK319">
        <f>표1[[#This Row],[RC]]/((표1[[#This Row],[AB]]-표1[[#This Row],[H]]+표1[[#This Row],[SAC]]+표1[[#This Row],[SF]]+표1[[#This Row],[CS]]+표1[[#This Row],[GDP]])/27)</f>
        <v>7.3135791972793482</v>
      </c>
      <c r="AL31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0.38841284403669712</v>
      </c>
      <c r="AM31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73.564000000000007</v>
      </c>
    </row>
    <row r="320" spans="1:39" x14ac:dyDescent="0.3">
      <c r="A320" t="str">
        <f>_xlfn.CONCAT(표1[[#This Row],[Year]],표1[[#This Row],[Player]])</f>
        <v>2009나주환</v>
      </c>
      <c r="B320">
        <v>2009</v>
      </c>
      <c r="C320">
        <v>27</v>
      </c>
      <c r="D320" t="s">
        <v>109</v>
      </c>
      <c r="E320" t="s">
        <v>8</v>
      </c>
      <c r="F320">
        <v>0.28799999999999998</v>
      </c>
      <c r="G320">
        <v>118</v>
      </c>
      <c r="H320">
        <v>454</v>
      </c>
      <c r="I320">
        <v>382</v>
      </c>
      <c r="J320">
        <v>60</v>
      </c>
      <c r="K320">
        <v>110</v>
      </c>
      <c r="L320">
        <f>표1[[#This Row],[H]]-표1[[#This Row],[2B]]-표1[[#This Row],[3B]]-표1[[#This Row],[HR]]</f>
        <v>82</v>
      </c>
      <c r="M320">
        <v>13</v>
      </c>
      <c r="N320">
        <v>0</v>
      </c>
      <c r="O320">
        <v>15</v>
      </c>
      <c r="P320">
        <v>168</v>
      </c>
      <c r="Q320">
        <v>65</v>
      </c>
      <c r="R320">
        <v>20</v>
      </c>
      <c r="S320">
        <v>4</v>
      </c>
      <c r="T320">
        <v>41</v>
      </c>
      <c r="U320">
        <v>0</v>
      </c>
      <c r="V320">
        <v>21</v>
      </c>
      <c r="W320">
        <v>9</v>
      </c>
      <c r="X320">
        <v>7</v>
      </c>
      <c r="Y320">
        <v>74</v>
      </c>
      <c r="Z320">
        <v>8</v>
      </c>
      <c r="AA320">
        <v>0.44</v>
      </c>
      <c r="AB320">
        <v>0.36399999999999999</v>
      </c>
      <c r="AC320">
        <v>0.80400000000000005</v>
      </c>
      <c r="AD320">
        <v>27</v>
      </c>
      <c r="AE320">
        <v>0.26200000000000001</v>
      </c>
      <c r="AF320">
        <v>0</v>
      </c>
      <c r="AG320">
        <f>(표1[[#This Row],[TB]]-표1[[#This Row],[H]])/표1[[#This Row],[AB]]</f>
        <v>0.15183246073298429</v>
      </c>
      <c r="AH320">
        <f>(표1[[#This Row],[TB]]-표1[[#This Row],[H]]+표1[[#This Row],[BB]]+표1[[#This Row],[SB]]-표1[[#This Row],[CS]])/표1[[#This Row],[AB]]</f>
        <v>0.29057591623036649</v>
      </c>
      <c r="AI320">
        <f>(표1[[#This Row],[TB]]+표1[[#This Row],[BB]]+표1[[#This Row],[HBP]]+표1[[#This Row],[SB]]-표1[[#This Row],[CS]])/(표1[[#This Row],[AB]]-표1[[#This Row],[H]]+표1[[#This Row],[CS]]+표1[[#This Row],[GDP]])</f>
        <v>0.78892733564013839</v>
      </c>
      <c r="AJ32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63.319559471365636</v>
      </c>
      <c r="AK320">
        <f>표1[[#This Row],[RC]]/((표1[[#This Row],[AB]]-표1[[#This Row],[H]]+표1[[#This Row],[SAC]]+표1[[#This Row],[SF]]+표1[[#This Row],[CS]]+표1[[#This Row],[GDP]])/27)</f>
        <v>5.4620706253254694</v>
      </c>
      <c r="AL32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0.35272811059907827</v>
      </c>
      <c r="AM32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63.428000000000011</v>
      </c>
    </row>
    <row r="321" spans="1:39" x14ac:dyDescent="0.3">
      <c r="A321" t="str">
        <f>_xlfn.CONCAT(표1[[#This Row],[Year]],표1[[#This Row],[Player]])</f>
        <v>2009강정호</v>
      </c>
      <c r="B321">
        <v>2009</v>
      </c>
      <c r="C321">
        <v>28</v>
      </c>
      <c r="D321" t="s">
        <v>106</v>
      </c>
      <c r="E321" t="s">
        <v>113</v>
      </c>
      <c r="F321">
        <v>0.28599999999999998</v>
      </c>
      <c r="G321">
        <v>133</v>
      </c>
      <c r="H321">
        <v>538</v>
      </c>
      <c r="I321">
        <v>476</v>
      </c>
      <c r="J321">
        <v>73</v>
      </c>
      <c r="K321">
        <v>136</v>
      </c>
      <c r="L321">
        <f>표1[[#This Row],[H]]-표1[[#This Row],[2B]]-표1[[#This Row],[3B]]-표1[[#This Row],[HR]]</f>
        <v>78</v>
      </c>
      <c r="M321">
        <v>33</v>
      </c>
      <c r="N321">
        <v>2</v>
      </c>
      <c r="O321">
        <v>23</v>
      </c>
      <c r="P321">
        <v>242</v>
      </c>
      <c r="Q321">
        <v>81</v>
      </c>
      <c r="R321">
        <v>8</v>
      </c>
      <c r="S321">
        <v>5</v>
      </c>
      <c r="T321">
        <v>45</v>
      </c>
      <c r="U321">
        <v>2</v>
      </c>
      <c r="V321">
        <v>3</v>
      </c>
      <c r="W321">
        <v>2</v>
      </c>
      <c r="X321">
        <v>4</v>
      </c>
      <c r="Y321">
        <v>81</v>
      </c>
      <c r="Z321">
        <v>18</v>
      </c>
      <c r="AA321">
        <v>0.50800000000000001</v>
      </c>
      <c r="AB321">
        <v>0.34899999999999998</v>
      </c>
      <c r="AC321">
        <v>0.85699999999999998</v>
      </c>
      <c r="AD321">
        <v>37</v>
      </c>
      <c r="AE321">
        <v>0.25900000000000001</v>
      </c>
      <c r="AF321">
        <v>0</v>
      </c>
      <c r="AG321">
        <f>(표1[[#This Row],[TB]]-표1[[#This Row],[H]])/표1[[#This Row],[AB]]</f>
        <v>0.22268907563025211</v>
      </c>
      <c r="AH321">
        <f>(표1[[#This Row],[TB]]-표1[[#This Row],[H]]+표1[[#This Row],[BB]]+표1[[#This Row],[SB]]-표1[[#This Row],[CS]])/표1[[#This Row],[AB]]</f>
        <v>0.31932773109243695</v>
      </c>
      <c r="AI321">
        <f>(표1[[#This Row],[TB]]+표1[[#This Row],[BB]]+표1[[#This Row],[HBP]]+표1[[#This Row],[SB]]-표1[[#This Row],[CS]])/(표1[[#This Row],[AB]]-표1[[#This Row],[H]]+표1[[#This Row],[CS]]+표1[[#This Row],[GDP]])</f>
        <v>0.81111111111111112</v>
      </c>
      <c r="AJ32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80.518773234200751</v>
      </c>
      <c r="AK321">
        <f>표1[[#This Row],[RC]]/((표1[[#This Row],[AB]]-표1[[#This Row],[H]]+표1[[#This Row],[SAC]]+표1[[#This Row],[SF]]+표1[[#This Row],[CS]]+표1[[#This Row],[GDP]])/27)</f>
        <v>5.8284366684274005</v>
      </c>
      <c r="AL32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0.36657954545454546</v>
      </c>
      <c r="AM32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78.602000000000004</v>
      </c>
    </row>
    <row r="322" spans="1:39" x14ac:dyDescent="0.3">
      <c r="A322" t="str">
        <f>_xlfn.CONCAT(표1[[#This Row],[Year]],표1[[#This Row],[Player]])</f>
        <v>2009이범호</v>
      </c>
      <c r="B322">
        <v>2009</v>
      </c>
      <c r="C322">
        <v>29</v>
      </c>
      <c r="D322" t="s">
        <v>53</v>
      </c>
      <c r="E322" t="s">
        <v>11</v>
      </c>
      <c r="F322">
        <v>0.28399999999999997</v>
      </c>
      <c r="G322">
        <v>126</v>
      </c>
      <c r="H322">
        <v>499</v>
      </c>
      <c r="I322">
        <v>436</v>
      </c>
      <c r="J322">
        <v>64</v>
      </c>
      <c r="K322">
        <v>124</v>
      </c>
      <c r="L322">
        <f>표1[[#This Row],[H]]-표1[[#This Row],[2B]]-표1[[#This Row],[3B]]-표1[[#This Row],[HR]]</f>
        <v>78</v>
      </c>
      <c r="M322">
        <v>21</v>
      </c>
      <c r="N322">
        <v>0</v>
      </c>
      <c r="O322">
        <v>25</v>
      </c>
      <c r="P322">
        <v>220</v>
      </c>
      <c r="Q322">
        <v>79</v>
      </c>
      <c r="R322">
        <v>0</v>
      </c>
      <c r="S322">
        <v>3</v>
      </c>
      <c r="T322">
        <v>53</v>
      </c>
      <c r="U322">
        <v>5</v>
      </c>
      <c r="V322">
        <v>3</v>
      </c>
      <c r="W322">
        <v>1</v>
      </c>
      <c r="X322">
        <v>7</v>
      </c>
      <c r="Y322">
        <v>70</v>
      </c>
      <c r="Z322">
        <v>10</v>
      </c>
      <c r="AA322">
        <v>0.505</v>
      </c>
      <c r="AB322">
        <v>0.36899999999999999</v>
      </c>
      <c r="AC322">
        <v>0.874</v>
      </c>
      <c r="AD322">
        <v>36</v>
      </c>
      <c r="AE322">
        <v>0.23400000000000001</v>
      </c>
      <c r="AF322">
        <v>0.25</v>
      </c>
      <c r="AG322">
        <f>(표1[[#This Row],[TB]]-표1[[#This Row],[H]])/표1[[#This Row],[AB]]</f>
        <v>0.22018348623853212</v>
      </c>
      <c r="AH322">
        <f>(표1[[#This Row],[TB]]-표1[[#This Row],[H]]+표1[[#This Row],[BB]]+표1[[#This Row],[SB]]-표1[[#This Row],[CS]])/표1[[#This Row],[AB]]</f>
        <v>0.34633027522935778</v>
      </c>
      <c r="AI322">
        <f>(표1[[#This Row],[TB]]+표1[[#This Row],[BB]]+표1[[#This Row],[HBP]]+표1[[#This Row],[SB]]-표1[[#This Row],[CS]])/(표1[[#This Row],[AB]]-표1[[#This Row],[H]]+표1[[#This Row],[CS]]+표1[[#This Row],[GDP]])</f>
        <v>0.87306501547987614</v>
      </c>
      <c r="AJ32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82.311943887775556</v>
      </c>
      <c r="AK322">
        <f>표1[[#This Row],[RC]]/((표1[[#This Row],[AB]]-표1[[#This Row],[H]]+표1[[#This Row],[SAC]]+표1[[#This Row],[SF]]+표1[[#This Row],[CS]]+표1[[#This Row],[GDP]])/27)</f>
        <v>6.8172468864108584</v>
      </c>
      <c r="AL32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0.37453643724696356</v>
      </c>
      <c r="AM32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79.060000000000016</v>
      </c>
    </row>
    <row r="323" spans="1:39" x14ac:dyDescent="0.3">
      <c r="A323" t="str">
        <f>_xlfn.CONCAT(표1[[#This Row],[Year]],표1[[#This Row],[Player]])</f>
        <v>2009최형우</v>
      </c>
      <c r="B323">
        <v>2009</v>
      </c>
      <c r="C323">
        <v>30</v>
      </c>
      <c r="D323" t="s">
        <v>105</v>
      </c>
      <c r="E323" t="s">
        <v>6</v>
      </c>
      <c r="F323">
        <v>0.28399999999999997</v>
      </c>
      <c r="G323">
        <v>113</v>
      </c>
      <c r="H323">
        <v>481</v>
      </c>
      <c r="I323">
        <v>415</v>
      </c>
      <c r="J323">
        <v>70</v>
      </c>
      <c r="K323">
        <v>118</v>
      </c>
      <c r="L323">
        <f>표1[[#This Row],[H]]-표1[[#This Row],[2B]]-표1[[#This Row],[3B]]-표1[[#This Row],[HR]]</f>
        <v>71</v>
      </c>
      <c r="M323">
        <v>24</v>
      </c>
      <c r="N323">
        <v>0</v>
      </c>
      <c r="O323">
        <v>23</v>
      </c>
      <c r="P323">
        <v>211</v>
      </c>
      <c r="Q323">
        <v>83</v>
      </c>
      <c r="R323">
        <v>1</v>
      </c>
      <c r="S323">
        <v>3</v>
      </c>
      <c r="T323">
        <v>53</v>
      </c>
      <c r="U323">
        <v>4</v>
      </c>
      <c r="V323">
        <v>1</v>
      </c>
      <c r="W323">
        <v>2</v>
      </c>
      <c r="X323">
        <v>9</v>
      </c>
      <c r="Y323">
        <v>60</v>
      </c>
      <c r="Z323">
        <v>12</v>
      </c>
      <c r="AA323">
        <v>0.50800000000000001</v>
      </c>
      <c r="AB323">
        <v>0.375</v>
      </c>
      <c r="AC323">
        <v>0.88300000000000001</v>
      </c>
      <c r="AD323">
        <v>35</v>
      </c>
      <c r="AE323">
        <v>0.314</v>
      </c>
      <c r="AF323">
        <v>0.33300000000000002</v>
      </c>
      <c r="AG323">
        <f>(표1[[#This Row],[TB]]-표1[[#This Row],[H]])/표1[[#This Row],[AB]]</f>
        <v>0.22409638554216868</v>
      </c>
      <c r="AH323">
        <f>(표1[[#This Row],[TB]]-표1[[#This Row],[H]]+표1[[#This Row],[BB]]+표1[[#This Row],[SB]]-표1[[#This Row],[CS]])/표1[[#This Row],[AB]]</f>
        <v>0.3493975903614458</v>
      </c>
      <c r="AI323">
        <f>(표1[[#This Row],[TB]]+표1[[#This Row],[BB]]+표1[[#This Row],[HBP]]+표1[[#This Row],[SB]]-표1[[#This Row],[CS]])/(표1[[#This Row],[AB]]-표1[[#This Row],[H]]+표1[[#This Row],[CS]]+표1[[#This Row],[GDP]])</f>
        <v>0.87459807073954987</v>
      </c>
      <c r="AJ32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78.920748440748454</v>
      </c>
      <c r="AK323">
        <f>표1[[#This Row],[RC]]/((표1[[#This Row],[AB]]-표1[[#This Row],[H]]+표1[[#This Row],[SAC]]+표1[[#This Row],[SF]]+표1[[#This Row],[CS]]+표1[[#This Row],[GDP]])/27)</f>
        <v>6.7646355806355825</v>
      </c>
      <c r="AL32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0.37946008403361342</v>
      </c>
      <c r="AM32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75.660000000000025</v>
      </c>
    </row>
    <row r="324" spans="1:39" x14ac:dyDescent="0.3">
      <c r="A324" t="str">
        <f>_xlfn.CONCAT(표1[[#This Row],[Year]],표1[[#This Row],[Player]])</f>
        <v>2009황재균</v>
      </c>
      <c r="B324">
        <v>2009</v>
      </c>
      <c r="C324">
        <v>31</v>
      </c>
      <c r="D324" t="s">
        <v>118</v>
      </c>
      <c r="E324" t="s">
        <v>113</v>
      </c>
      <c r="F324">
        <v>0.28399999999999997</v>
      </c>
      <c r="G324">
        <v>133</v>
      </c>
      <c r="H324">
        <v>608</v>
      </c>
      <c r="I324">
        <v>536</v>
      </c>
      <c r="J324">
        <v>86</v>
      </c>
      <c r="K324">
        <v>152</v>
      </c>
      <c r="L324">
        <f>표1[[#This Row],[H]]-표1[[#This Row],[2B]]-표1[[#This Row],[3B]]-표1[[#This Row],[HR]]</f>
        <v>102</v>
      </c>
      <c r="M324">
        <v>27</v>
      </c>
      <c r="N324">
        <v>5</v>
      </c>
      <c r="O324">
        <v>18</v>
      </c>
      <c r="P324">
        <v>243</v>
      </c>
      <c r="Q324">
        <v>63</v>
      </c>
      <c r="R324">
        <v>6</v>
      </c>
      <c r="S324">
        <v>8</v>
      </c>
      <c r="T324">
        <v>55</v>
      </c>
      <c r="U324">
        <v>0</v>
      </c>
      <c r="V324">
        <v>30</v>
      </c>
      <c r="W324">
        <v>15</v>
      </c>
      <c r="X324">
        <v>3</v>
      </c>
      <c r="Y324">
        <v>100</v>
      </c>
      <c r="Z324">
        <v>11</v>
      </c>
      <c r="AA324">
        <v>0.45300000000000001</v>
      </c>
      <c r="AB324">
        <v>0.34899999999999998</v>
      </c>
      <c r="AC324">
        <v>0.80200000000000005</v>
      </c>
      <c r="AD324">
        <v>41</v>
      </c>
      <c r="AE324">
        <v>0.26800000000000002</v>
      </c>
      <c r="AF324">
        <v>0</v>
      </c>
      <c r="AG324">
        <f>(표1[[#This Row],[TB]]-표1[[#This Row],[H]])/표1[[#This Row],[AB]]</f>
        <v>0.16977611940298507</v>
      </c>
      <c r="AH324">
        <f>(표1[[#This Row],[TB]]-표1[[#This Row],[H]]+표1[[#This Row],[BB]]+표1[[#This Row],[SB]]-표1[[#This Row],[CS]])/표1[[#This Row],[AB]]</f>
        <v>0.30037313432835822</v>
      </c>
      <c r="AI324">
        <f>(표1[[#This Row],[TB]]+표1[[#This Row],[BB]]+표1[[#This Row],[HBP]]+표1[[#This Row],[SB]]-표1[[#This Row],[CS]])/(표1[[#This Row],[AB]]-표1[[#This Row],[H]]+표1[[#This Row],[CS]]+표1[[#This Row],[GDP]])</f>
        <v>0.77073170731707319</v>
      </c>
      <c r="AJ32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85.027368421052628</v>
      </c>
      <c r="AK324">
        <f>표1[[#This Row],[RC]]/((표1[[#This Row],[AB]]-표1[[#This Row],[H]]+표1[[#This Row],[SAC]]+표1[[#This Row],[SF]]+표1[[#This Row],[CS]]+표1[[#This Row],[GDP]])/27)</f>
        <v>5.4144786494538231</v>
      </c>
      <c r="AL32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0.34765282392026575</v>
      </c>
      <c r="AM32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85.65</v>
      </c>
    </row>
    <row r="325" spans="1:39" x14ac:dyDescent="0.3">
      <c r="A325" t="str">
        <f>_xlfn.CONCAT(표1[[#This Row],[Year]],표1[[#This Row],[Player]])</f>
        <v>2009임재철</v>
      </c>
      <c r="B325">
        <v>2009</v>
      </c>
      <c r="C325">
        <v>32</v>
      </c>
      <c r="D325" t="s">
        <v>66</v>
      </c>
      <c r="E325" t="s">
        <v>1</v>
      </c>
      <c r="F325">
        <v>0.28100000000000003</v>
      </c>
      <c r="G325">
        <v>121</v>
      </c>
      <c r="H325">
        <v>426</v>
      </c>
      <c r="I325">
        <v>359</v>
      </c>
      <c r="J325">
        <v>61</v>
      </c>
      <c r="K325">
        <v>101</v>
      </c>
      <c r="L325">
        <f>표1[[#This Row],[H]]-표1[[#This Row],[2B]]-표1[[#This Row],[3B]]-표1[[#This Row],[HR]]</f>
        <v>81</v>
      </c>
      <c r="M325">
        <v>13</v>
      </c>
      <c r="N325">
        <v>1</v>
      </c>
      <c r="O325">
        <v>6</v>
      </c>
      <c r="P325">
        <v>134</v>
      </c>
      <c r="Q325">
        <v>50</v>
      </c>
      <c r="R325">
        <v>2</v>
      </c>
      <c r="S325">
        <v>1</v>
      </c>
      <c r="T325">
        <v>52</v>
      </c>
      <c r="U325">
        <v>0</v>
      </c>
      <c r="V325">
        <v>11</v>
      </c>
      <c r="W325">
        <v>5</v>
      </c>
      <c r="X325">
        <v>12</v>
      </c>
      <c r="Y325">
        <v>63</v>
      </c>
      <c r="Z325">
        <v>14</v>
      </c>
      <c r="AA325">
        <v>0.373</v>
      </c>
      <c r="AB325">
        <v>0.38900000000000001</v>
      </c>
      <c r="AC325">
        <v>0.76200000000000001</v>
      </c>
      <c r="AD325">
        <v>28</v>
      </c>
      <c r="AE325">
        <v>0.26300000000000001</v>
      </c>
      <c r="AF325">
        <v>0</v>
      </c>
      <c r="AG325">
        <f>(표1[[#This Row],[TB]]-표1[[#This Row],[H]])/표1[[#This Row],[AB]]</f>
        <v>9.1922005571030641E-2</v>
      </c>
      <c r="AH325">
        <f>(표1[[#This Row],[TB]]-표1[[#This Row],[H]]+표1[[#This Row],[BB]]+표1[[#This Row],[SB]]-표1[[#This Row],[CS]])/표1[[#This Row],[AB]]</f>
        <v>0.25348189415041783</v>
      </c>
      <c r="AI325">
        <f>(표1[[#This Row],[TB]]+표1[[#This Row],[BB]]+표1[[#This Row],[HBP]]+표1[[#This Row],[SB]]-표1[[#This Row],[CS]])/(표1[[#This Row],[AB]]-표1[[#This Row],[H]]+표1[[#This Row],[CS]]+표1[[#This Row],[GDP]])</f>
        <v>0.73646209386281591</v>
      </c>
      <c r="AJ32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54.122816901408449</v>
      </c>
      <c r="AK325">
        <f>표1[[#This Row],[RC]]/((표1[[#This Row],[AB]]-표1[[#This Row],[H]]+표1[[#This Row],[SAC]]+표1[[#This Row],[SF]]+표1[[#This Row],[CS]]+표1[[#This Row],[GDP]])/27)</f>
        <v>5.2189859154929579</v>
      </c>
      <c r="AL32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0.34547641509433957</v>
      </c>
      <c r="AM32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53.226000000000006</v>
      </c>
    </row>
    <row r="326" spans="1:39" x14ac:dyDescent="0.3">
      <c r="A326" t="str">
        <f>_xlfn.CONCAT(표1[[#This Row],[Year]],표1[[#This Row],[Player]])</f>
        <v>2009이대형</v>
      </c>
      <c r="B326">
        <v>2009</v>
      </c>
      <c r="C326">
        <v>33</v>
      </c>
      <c r="D326" t="s">
        <v>87</v>
      </c>
      <c r="E326" t="s">
        <v>36</v>
      </c>
      <c r="F326">
        <v>0.28000000000000003</v>
      </c>
      <c r="G326">
        <v>133</v>
      </c>
      <c r="H326">
        <v>597</v>
      </c>
      <c r="I326">
        <v>521</v>
      </c>
      <c r="J326">
        <v>92</v>
      </c>
      <c r="K326">
        <v>146</v>
      </c>
      <c r="L326">
        <f>표1[[#This Row],[H]]-표1[[#This Row],[2B]]-표1[[#This Row],[3B]]-표1[[#This Row],[HR]]</f>
        <v>132</v>
      </c>
      <c r="M326">
        <v>10</v>
      </c>
      <c r="N326">
        <v>2</v>
      </c>
      <c r="O326">
        <v>2</v>
      </c>
      <c r="P326">
        <v>166</v>
      </c>
      <c r="Q326">
        <v>41</v>
      </c>
      <c r="R326">
        <v>22</v>
      </c>
      <c r="S326">
        <v>4</v>
      </c>
      <c r="T326">
        <v>50</v>
      </c>
      <c r="U326">
        <v>1</v>
      </c>
      <c r="V326">
        <v>64</v>
      </c>
      <c r="W326">
        <v>18</v>
      </c>
      <c r="X326">
        <v>0</v>
      </c>
      <c r="Y326">
        <v>77</v>
      </c>
      <c r="Z326">
        <v>8</v>
      </c>
      <c r="AA326">
        <v>0.31900000000000001</v>
      </c>
      <c r="AB326">
        <v>0.34100000000000003</v>
      </c>
      <c r="AC326">
        <v>0.66</v>
      </c>
      <c r="AD326">
        <v>40</v>
      </c>
      <c r="AE326">
        <v>0.25</v>
      </c>
      <c r="AF326">
        <v>0</v>
      </c>
      <c r="AG326">
        <f>(표1[[#This Row],[TB]]-표1[[#This Row],[H]])/표1[[#This Row],[AB]]</f>
        <v>3.8387715930902108E-2</v>
      </c>
      <c r="AH326">
        <f>(표1[[#This Row],[TB]]-표1[[#This Row],[H]]+표1[[#This Row],[BB]]+표1[[#This Row],[SB]]-표1[[#This Row],[CS]])/표1[[#This Row],[AB]]</f>
        <v>0.22264875239923224</v>
      </c>
      <c r="AI326">
        <f>(표1[[#This Row],[TB]]+표1[[#This Row],[BB]]+표1[[#This Row],[HBP]]+표1[[#This Row],[SB]]-표1[[#This Row],[CS]])/(표1[[#This Row],[AB]]-표1[[#This Row],[H]]+표1[[#This Row],[CS]]+표1[[#This Row],[GDP]])</f>
        <v>0.65336658354114718</v>
      </c>
      <c r="AJ32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64.224120603015081</v>
      </c>
      <c r="AK326">
        <f>표1[[#This Row],[RC]]/((표1[[#This Row],[AB]]-표1[[#This Row],[H]]+표1[[#This Row],[SAC]]+표1[[#This Row],[SF]]+표1[[#This Row],[CS]]+표1[[#This Row],[GDP]])/27)</f>
        <v>4.0610099678721481</v>
      </c>
      <c r="AL32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0.296897212543554</v>
      </c>
      <c r="AM32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65.863999999999976</v>
      </c>
    </row>
    <row r="327" spans="1:39" x14ac:dyDescent="0.3">
      <c r="A327" t="str">
        <f>_xlfn.CONCAT(표1[[#This Row],[Year]],표1[[#This Row],[Player]])</f>
        <v>2009박정권</v>
      </c>
      <c r="B327">
        <v>2009</v>
      </c>
      <c r="C327">
        <v>34</v>
      </c>
      <c r="D327" t="s">
        <v>119</v>
      </c>
      <c r="E327" t="s">
        <v>8</v>
      </c>
      <c r="F327">
        <v>0.27600000000000002</v>
      </c>
      <c r="G327">
        <v>131</v>
      </c>
      <c r="H327">
        <v>511</v>
      </c>
      <c r="I327">
        <v>446</v>
      </c>
      <c r="J327">
        <v>70</v>
      </c>
      <c r="K327">
        <v>123</v>
      </c>
      <c r="L327">
        <f>표1[[#This Row],[H]]-표1[[#This Row],[2B]]-표1[[#This Row],[3B]]-표1[[#This Row],[HR]]</f>
        <v>71</v>
      </c>
      <c r="M327">
        <v>27</v>
      </c>
      <c r="N327">
        <v>0</v>
      </c>
      <c r="O327">
        <v>25</v>
      </c>
      <c r="P327">
        <v>225</v>
      </c>
      <c r="Q327">
        <v>76</v>
      </c>
      <c r="R327">
        <v>8</v>
      </c>
      <c r="S327">
        <v>2</v>
      </c>
      <c r="T327">
        <v>51</v>
      </c>
      <c r="U327">
        <v>4</v>
      </c>
      <c r="V327">
        <v>5</v>
      </c>
      <c r="W327">
        <v>4</v>
      </c>
      <c r="X327">
        <v>4</v>
      </c>
      <c r="Y327">
        <v>91</v>
      </c>
      <c r="Z327">
        <v>8</v>
      </c>
      <c r="AA327">
        <v>0.504</v>
      </c>
      <c r="AB327">
        <v>0.35399999999999998</v>
      </c>
      <c r="AC327">
        <v>0.85799999999999998</v>
      </c>
      <c r="AD327">
        <v>37</v>
      </c>
      <c r="AE327">
        <v>0.252</v>
      </c>
      <c r="AF327">
        <v>0.4</v>
      </c>
      <c r="AG327">
        <f>(표1[[#This Row],[TB]]-표1[[#This Row],[H]])/표1[[#This Row],[AB]]</f>
        <v>0.22869955156950672</v>
      </c>
      <c r="AH327">
        <f>(표1[[#This Row],[TB]]-표1[[#This Row],[H]]+표1[[#This Row],[BB]]+표1[[#This Row],[SB]]-표1[[#This Row],[CS]])/표1[[#This Row],[AB]]</f>
        <v>0.3452914798206278</v>
      </c>
      <c r="AI327">
        <f>(표1[[#This Row],[TB]]+표1[[#This Row],[BB]]+표1[[#This Row],[HBP]]+표1[[#This Row],[SB]]-표1[[#This Row],[CS]])/(표1[[#This Row],[AB]]-표1[[#This Row],[H]]+표1[[#This Row],[CS]]+표1[[#This Row],[GDP]])</f>
        <v>0.83880597014925373</v>
      </c>
      <c r="AJ32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79.933385518590995</v>
      </c>
      <c r="AK327">
        <f>표1[[#This Row],[RC]]/((표1[[#This Row],[AB]]-표1[[#This Row],[H]]+표1[[#This Row],[SAC]]+표1[[#This Row],[SF]]+표1[[#This Row],[CS]]+표1[[#This Row],[GDP]])/27)</f>
        <v>6.2556562579766863</v>
      </c>
      <c r="AL32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0.36777154308617227</v>
      </c>
      <c r="AM32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77.201999999999998</v>
      </c>
    </row>
    <row r="328" spans="1:39" x14ac:dyDescent="0.3">
      <c r="A328" t="str">
        <f>_xlfn.CONCAT(표1[[#This Row],[Year]],표1[[#This Row],[Player]])</f>
        <v>2009이종범</v>
      </c>
      <c r="B328">
        <v>2009</v>
      </c>
      <c r="C328">
        <v>35</v>
      </c>
      <c r="D328" t="s">
        <v>14</v>
      </c>
      <c r="E328" t="s">
        <v>13</v>
      </c>
      <c r="F328">
        <v>0.27300000000000002</v>
      </c>
      <c r="G328">
        <v>123</v>
      </c>
      <c r="H328">
        <v>449</v>
      </c>
      <c r="I328">
        <v>385</v>
      </c>
      <c r="J328">
        <v>63</v>
      </c>
      <c r="K328">
        <v>105</v>
      </c>
      <c r="L328">
        <f>표1[[#This Row],[H]]-표1[[#This Row],[2B]]-표1[[#This Row],[3B]]-표1[[#This Row],[HR]]</f>
        <v>77</v>
      </c>
      <c r="M328">
        <v>21</v>
      </c>
      <c r="N328">
        <v>1</v>
      </c>
      <c r="O328">
        <v>6</v>
      </c>
      <c r="P328">
        <v>146</v>
      </c>
      <c r="Q328">
        <v>40</v>
      </c>
      <c r="R328">
        <v>12</v>
      </c>
      <c r="S328">
        <v>6</v>
      </c>
      <c r="T328">
        <v>41</v>
      </c>
      <c r="U328">
        <v>1</v>
      </c>
      <c r="V328">
        <v>11</v>
      </c>
      <c r="W328">
        <v>1</v>
      </c>
      <c r="X328">
        <v>5</v>
      </c>
      <c r="Y328">
        <v>50</v>
      </c>
      <c r="Z328">
        <v>9</v>
      </c>
      <c r="AA328">
        <v>0.379</v>
      </c>
      <c r="AB328">
        <v>0.34599999999999997</v>
      </c>
      <c r="AC328">
        <v>0.72499999999999998</v>
      </c>
      <c r="AD328">
        <v>25</v>
      </c>
      <c r="AE328">
        <v>0.22800000000000001</v>
      </c>
      <c r="AF328">
        <v>0.4</v>
      </c>
      <c r="AG328">
        <f>(표1[[#This Row],[TB]]-표1[[#This Row],[H]])/표1[[#This Row],[AB]]</f>
        <v>0.10649350649350649</v>
      </c>
      <c r="AH328">
        <f>(표1[[#This Row],[TB]]-표1[[#This Row],[H]]+표1[[#This Row],[BB]]+표1[[#This Row],[SB]]-표1[[#This Row],[CS]])/표1[[#This Row],[AB]]</f>
        <v>0.23896103896103896</v>
      </c>
      <c r="AI328">
        <f>(표1[[#This Row],[TB]]+표1[[#This Row],[BB]]+표1[[#This Row],[HBP]]+표1[[#This Row],[SB]]-표1[[#This Row],[CS]])/(표1[[#This Row],[AB]]-표1[[#This Row],[H]]+표1[[#This Row],[CS]]+표1[[#This Row],[GDP]])</f>
        <v>0.69655172413793098</v>
      </c>
      <c r="AJ32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54.258307349665927</v>
      </c>
      <c r="AK328">
        <f>표1[[#This Row],[RC]]/((표1[[#This Row],[AB]]-표1[[#This Row],[H]]+표1[[#This Row],[SAC]]+표1[[#This Row],[SF]]+표1[[#This Row],[CS]]+표1[[#This Row],[GDP]])/27)</f>
        <v>4.7564100598733123</v>
      </c>
      <c r="AL32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0.32031192660550462</v>
      </c>
      <c r="AM32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54.279999999999994</v>
      </c>
    </row>
    <row r="329" spans="1:39" x14ac:dyDescent="0.3">
      <c r="A329" t="str">
        <f>_xlfn.CONCAT(표1[[#This Row],[Year]],표1[[#This Row],[Player]])</f>
        <v>2009가르시아</v>
      </c>
      <c r="B329">
        <v>2009</v>
      </c>
      <c r="C329">
        <v>36</v>
      </c>
      <c r="D329" t="s">
        <v>103</v>
      </c>
      <c r="E329" t="s">
        <v>17</v>
      </c>
      <c r="F329">
        <v>0.26600000000000001</v>
      </c>
      <c r="G329">
        <v>130</v>
      </c>
      <c r="H329">
        <v>539</v>
      </c>
      <c r="I329">
        <v>467</v>
      </c>
      <c r="J329">
        <v>72</v>
      </c>
      <c r="K329">
        <v>124</v>
      </c>
      <c r="L329">
        <f>표1[[#This Row],[H]]-표1[[#This Row],[2B]]-표1[[#This Row],[3B]]-표1[[#This Row],[HR]]</f>
        <v>65</v>
      </c>
      <c r="M329">
        <v>29</v>
      </c>
      <c r="N329">
        <v>1</v>
      </c>
      <c r="O329">
        <v>29</v>
      </c>
      <c r="P329">
        <v>242</v>
      </c>
      <c r="Q329">
        <v>84</v>
      </c>
      <c r="R329">
        <v>0</v>
      </c>
      <c r="S329">
        <v>5</v>
      </c>
      <c r="T329">
        <v>62</v>
      </c>
      <c r="U329">
        <v>3</v>
      </c>
      <c r="V329">
        <v>4</v>
      </c>
      <c r="W329">
        <v>3</v>
      </c>
      <c r="X329">
        <v>5</v>
      </c>
      <c r="Y329">
        <v>124</v>
      </c>
      <c r="Z329">
        <v>11</v>
      </c>
      <c r="AA329">
        <v>0.51800000000000002</v>
      </c>
      <c r="AB329">
        <v>0.35399999999999998</v>
      </c>
      <c r="AC329">
        <v>0.872</v>
      </c>
      <c r="AD329">
        <v>31</v>
      </c>
      <c r="AE329">
        <v>0.246</v>
      </c>
      <c r="AF329">
        <v>0</v>
      </c>
      <c r="AG329">
        <f>(표1[[#This Row],[TB]]-표1[[#This Row],[H]])/표1[[#This Row],[AB]]</f>
        <v>0.25267665952890794</v>
      </c>
      <c r="AH329">
        <f>(표1[[#This Row],[TB]]-표1[[#This Row],[H]]+표1[[#This Row],[BB]]+표1[[#This Row],[SB]]-표1[[#This Row],[CS]])/표1[[#This Row],[AB]]</f>
        <v>0.38758029978586722</v>
      </c>
      <c r="AI329">
        <f>(표1[[#This Row],[TB]]+표1[[#This Row],[BB]]+표1[[#This Row],[HBP]]+표1[[#This Row],[SB]]-표1[[#This Row],[CS]])/(표1[[#This Row],[AB]]-표1[[#This Row],[H]]+표1[[#This Row],[CS]]+표1[[#This Row],[GDP]])</f>
        <v>0.86834733893557425</v>
      </c>
      <c r="AJ32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86.470575139146561</v>
      </c>
      <c r="AK329">
        <f>표1[[#This Row],[RC]]/((표1[[#This Row],[AB]]-표1[[#This Row],[H]]+표1[[#This Row],[SAC]]+표1[[#This Row],[SF]]+표1[[#This Row],[CS]]+표1[[#This Row],[GDP]])/27)</f>
        <v>6.4494627866214289</v>
      </c>
      <c r="AL32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0.37232649253731337</v>
      </c>
      <c r="AM32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84.367999999999995</v>
      </c>
    </row>
    <row r="330" spans="1:39" x14ac:dyDescent="0.3">
      <c r="A330" t="str">
        <f>_xlfn.CONCAT(표1[[#This Row],[Year]],표1[[#This Row],[Player]])</f>
        <v>2009나지완</v>
      </c>
      <c r="B330">
        <v>2009</v>
      </c>
      <c r="C330">
        <v>37</v>
      </c>
      <c r="D330" t="s">
        <v>120</v>
      </c>
      <c r="E330" t="s">
        <v>13</v>
      </c>
      <c r="F330">
        <v>0.26300000000000001</v>
      </c>
      <c r="G330">
        <v>128</v>
      </c>
      <c r="H330">
        <v>457</v>
      </c>
      <c r="I330">
        <v>384</v>
      </c>
      <c r="J330">
        <v>58</v>
      </c>
      <c r="K330">
        <v>101</v>
      </c>
      <c r="L330">
        <f>표1[[#This Row],[H]]-표1[[#This Row],[2B]]-표1[[#This Row],[3B]]-표1[[#This Row],[HR]]</f>
        <v>66</v>
      </c>
      <c r="M330">
        <v>12</v>
      </c>
      <c r="N330">
        <v>0</v>
      </c>
      <c r="O330">
        <v>23</v>
      </c>
      <c r="P330">
        <v>182</v>
      </c>
      <c r="Q330">
        <v>73</v>
      </c>
      <c r="R330">
        <v>3</v>
      </c>
      <c r="S330">
        <v>4</v>
      </c>
      <c r="T330">
        <v>58</v>
      </c>
      <c r="U330">
        <v>3</v>
      </c>
      <c r="V330">
        <v>4</v>
      </c>
      <c r="W330">
        <v>1</v>
      </c>
      <c r="X330">
        <v>8</v>
      </c>
      <c r="Y330">
        <v>90</v>
      </c>
      <c r="Z330">
        <v>9</v>
      </c>
      <c r="AA330">
        <v>0.47399999999999998</v>
      </c>
      <c r="AB330">
        <v>0.36799999999999999</v>
      </c>
      <c r="AC330">
        <v>0.84199999999999997</v>
      </c>
      <c r="AD330">
        <v>24</v>
      </c>
      <c r="AE330">
        <v>0.22700000000000001</v>
      </c>
      <c r="AF330">
        <v>0.23100000000000001</v>
      </c>
      <c r="AG330">
        <f>(표1[[#This Row],[TB]]-표1[[#This Row],[H]])/표1[[#This Row],[AB]]</f>
        <v>0.2109375</v>
      </c>
      <c r="AH330">
        <f>(표1[[#This Row],[TB]]-표1[[#This Row],[H]]+표1[[#This Row],[BB]]+표1[[#This Row],[SB]]-표1[[#This Row],[CS]])/표1[[#This Row],[AB]]</f>
        <v>0.36979166666666669</v>
      </c>
      <c r="AI330">
        <f>(표1[[#This Row],[TB]]+표1[[#This Row],[BB]]+표1[[#This Row],[HBP]]+표1[[#This Row],[SB]]-표1[[#This Row],[CS]])/(표1[[#This Row],[AB]]-표1[[#This Row],[H]]+표1[[#This Row],[CS]]+표1[[#This Row],[GDP]])</f>
        <v>0.85665529010238906</v>
      </c>
      <c r="AJ33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70.11750547045952</v>
      </c>
      <c r="AK330">
        <f>표1[[#This Row],[RC]]/((표1[[#This Row],[AB]]-표1[[#This Row],[H]]+표1[[#This Row],[SAC]]+표1[[#This Row],[SF]]+표1[[#This Row],[CS]]+표1[[#This Row],[GDP]])/27)</f>
        <v>6.3105754923413571</v>
      </c>
      <c r="AL33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0.36484035476718407</v>
      </c>
      <c r="AM33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69.41</v>
      </c>
    </row>
    <row r="331" spans="1:39" x14ac:dyDescent="0.3">
      <c r="A331" t="str">
        <f>_xlfn.CONCAT(표1[[#This Row],[Year]],표1[[#This Row],[Player]])</f>
        <v>2009송광민</v>
      </c>
      <c r="B331">
        <v>2009</v>
      </c>
      <c r="C331">
        <v>38</v>
      </c>
      <c r="D331" t="s">
        <v>121</v>
      </c>
      <c r="E331" t="s">
        <v>11</v>
      </c>
      <c r="F331">
        <v>0.26100000000000001</v>
      </c>
      <c r="G331">
        <v>116</v>
      </c>
      <c r="H331">
        <v>440</v>
      </c>
      <c r="I331">
        <v>417</v>
      </c>
      <c r="J331">
        <v>50</v>
      </c>
      <c r="K331">
        <v>109</v>
      </c>
      <c r="L331">
        <f>표1[[#This Row],[H]]-표1[[#This Row],[2B]]-표1[[#This Row],[3B]]-표1[[#This Row],[HR]]</f>
        <v>79</v>
      </c>
      <c r="M331">
        <v>15</v>
      </c>
      <c r="N331">
        <v>1</v>
      </c>
      <c r="O331">
        <v>14</v>
      </c>
      <c r="P331">
        <v>168</v>
      </c>
      <c r="Q331">
        <v>43</v>
      </c>
      <c r="R331">
        <v>5</v>
      </c>
      <c r="S331">
        <v>1</v>
      </c>
      <c r="T331">
        <v>12</v>
      </c>
      <c r="U331">
        <v>1</v>
      </c>
      <c r="V331">
        <v>5</v>
      </c>
      <c r="W331">
        <v>0</v>
      </c>
      <c r="X331">
        <v>5</v>
      </c>
      <c r="Y331">
        <v>109</v>
      </c>
      <c r="Z331">
        <v>13</v>
      </c>
      <c r="AA331">
        <v>0.40300000000000002</v>
      </c>
      <c r="AB331">
        <v>0.28999999999999998</v>
      </c>
      <c r="AC331">
        <v>0.69299999999999995</v>
      </c>
      <c r="AD331">
        <v>29</v>
      </c>
      <c r="AE331">
        <v>0.26200000000000001</v>
      </c>
      <c r="AF331">
        <v>0</v>
      </c>
      <c r="AG331">
        <f>(표1[[#This Row],[TB]]-표1[[#This Row],[H]])/표1[[#This Row],[AB]]</f>
        <v>0.14148681055155876</v>
      </c>
      <c r="AH331">
        <f>(표1[[#This Row],[TB]]-표1[[#This Row],[H]]+표1[[#This Row],[BB]]+표1[[#This Row],[SB]]-표1[[#This Row],[CS]])/표1[[#This Row],[AB]]</f>
        <v>0.18225419664268586</v>
      </c>
      <c r="AI331">
        <f>(표1[[#This Row],[TB]]+표1[[#This Row],[BB]]+표1[[#This Row],[HBP]]+표1[[#This Row],[SB]]-표1[[#This Row],[CS]])/(표1[[#This Row],[AB]]-표1[[#This Row],[H]]+표1[[#This Row],[CS]]+표1[[#This Row],[GDP]])</f>
        <v>0.59190031152647971</v>
      </c>
      <c r="AJ33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45.682818181818178</v>
      </c>
      <c r="AK331">
        <f>표1[[#This Row],[RC]]/((표1[[#This Row],[AB]]-표1[[#This Row],[H]]+표1[[#This Row],[SAC]]+표1[[#This Row],[SF]]+표1[[#This Row],[CS]]+표1[[#This Row],[GDP]])/27)</f>
        <v>3.7719758131776477</v>
      </c>
      <c r="AL33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0.30024654377880183</v>
      </c>
      <c r="AM33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45.257999999999996</v>
      </c>
    </row>
    <row r="332" spans="1:39" x14ac:dyDescent="0.3">
      <c r="A332" t="str">
        <f>_xlfn.CONCAT(표1[[#This Row],[Year]],표1[[#This Row],[Player]])</f>
        <v>2009이현곤</v>
      </c>
      <c r="B332">
        <v>2009</v>
      </c>
      <c r="C332">
        <v>39</v>
      </c>
      <c r="D332" t="s">
        <v>85</v>
      </c>
      <c r="E332" t="s">
        <v>13</v>
      </c>
      <c r="F332">
        <v>0.253</v>
      </c>
      <c r="G332">
        <v>120</v>
      </c>
      <c r="H332">
        <v>428</v>
      </c>
      <c r="I332">
        <v>363</v>
      </c>
      <c r="J332">
        <v>35</v>
      </c>
      <c r="K332">
        <v>92</v>
      </c>
      <c r="L332">
        <f>표1[[#This Row],[H]]-표1[[#This Row],[2B]]-표1[[#This Row],[3B]]-표1[[#This Row],[HR]]</f>
        <v>75</v>
      </c>
      <c r="M332">
        <v>15</v>
      </c>
      <c r="N332">
        <v>0</v>
      </c>
      <c r="O332">
        <v>2</v>
      </c>
      <c r="P332">
        <v>113</v>
      </c>
      <c r="Q332">
        <v>33</v>
      </c>
      <c r="R332">
        <v>15</v>
      </c>
      <c r="S332">
        <v>6</v>
      </c>
      <c r="T332">
        <v>34</v>
      </c>
      <c r="U332">
        <v>0</v>
      </c>
      <c r="V332">
        <v>11</v>
      </c>
      <c r="W332">
        <v>3</v>
      </c>
      <c r="X332">
        <v>10</v>
      </c>
      <c r="Y332">
        <v>63</v>
      </c>
      <c r="Z332">
        <v>16</v>
      </c>
      <c r="AA332">
        <v>0.311</v>
      </c>
      <c r="AB332">
        <v>0.32900000000000001</v>
      </c>
      <c r="AC332">
        <v>0.64</v>
      </c>
      <c r="AD332">
        <v>24</v>
      </c>
      <c r="AE332">
        <v>0.25</v>
      </c>
      <c r="AF332">
        <v>0.33300000000000002</v>
      </c>
      <c r="AG332">
        <f>(표1[[#This Row],[TB]]-표1[[#This Row],[H]])/표1[[#This Row],[AB]]</f>
        <v>5.7851239669421489E-2</v>
      </c>
      <c r="AH332">
        <f>(표1[[#This Row],[TB]]-표1[[#This Row],[H]]+표1[[#This Row],[BB]]+표1[[#This Row],[SB]]-표1[[#This Row],[CS]])/표1[[#This Row],[AB]]</f>
        <v>0.17355371900826447</v>
      </c>
      <c r="AI332">
        <f>(표1[[#This Row],[TB]]+표1[[#This Row],[BB]]+표1[[#This Row],[HBP]]+표1[[#This Row],[SB]]-표1[[#This Row],[CS]])/(표1[[#This Row],[AB]]-표1[[#This Row],[H]]+표1[[#This Row],[CS]]+표1[[#This Row],[GDP]])</f>
        <v>0.56896551724137934</v>
      </c>
      <c r="AJ33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38.566261682242981</v>
      </c>
      <c r="AK332">
        <f>표1[[#This Row],[RC]]/((표1[[#This Row],[AB]]-표1[[#This Row],[H]]+표1[[#This Row],[SAC]]+표1[[#This Row],[SF]]+표1[[#This Row],[CS]]+표1[[#This Row],[GDP]])/27)</f>
        <v>3.3481963518345994</v>
      </c>
      <c r="AL33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0.29052058111380147</v>
      </c>
      <c r="AM33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39.166000000000004</v>
      </c>
    </row>
    <row r="333" spans="1:39" x14ac:dyDescent="0.3">
      <c r="A333" t="str">
        <f>_xlfn.CONCAT(표1[[#This Row],[Year]],표1[[#This Row],[Player]])</f>
        <v>2009권용관</v>
      </c>
      <c r="B333">
        <v>2009</v>
      </c>
      <c r="C333">
        <v>40</v>
      </c>
      <c r="D333" t="s">
        <v>96</v>
      </c>
      <c r="E333" t="s">
        <v>36</v>
      </c>
      <c r="F333">
        <v>0.247</v>
      </c>
      <c r="G333">
        <v>128</v>
      </c>
      <c r="H333">
        <v>431</v>
      </c>
      <c r="I333">
        <v>381</v>
      </c>
      <c r="J333">
        <v>45</v>
      </c>
      <c r="K333">
        <v>94</v>
      </c>
      <c r="L333">
        <f>표1[[#This Row],[H]]-표1[[#This Row],[2B]]-표1[[#This Row],[3B]]-표1[[#This Row],[HR]]</f>
        <v>69</v>
      </c>
      <c r="M333">
        <v>15</v>
      </c>
      <c r="N333">
        <v>3</v>
      </c>
      <c r="O333">
        <v>7</v>
      </c>
      <c r="P333">
        <v>136</v>
      </c>
      <c r="Q333">
        <v>34</v>
      </c>
      <c r="R333">
        <v>13</v>
      </c>
      <c r="S333">
        <v>2</v>
      </c>
      <c r="T333">
        <v>28</v>
      </c>
      <c r="U333">
        <v>0</v>
      </c>
      <c r="V333">
        <v>5</v>
      </c>
      <c r="W333">
        <v>3</v>
      </c>
      <c r="X333">
        <v>7</v>
      </c>
      <c r="Y333">
        <v>67</v>
      </c>
      <c r="Z333">
        <v>11</v>
      </c>
      <c r="AA333">
        <v>0.35699999999999998</v>
      </c>
      <c r="AB333">
        <v>0.309</v>
      </c>
      <c r="AC333">
        <v>0.66600000000000004</v>
      </c>
      <c r="AD333">
        <v>19</v>
      </c>
      <c r="AE333">
        <v>0.187</v>
      </c>
      <c r="AF333">
        <v>0.4</v>
      </c>
      <c r="AG333">
        <f>(표1[[#This Row],[TB]]-표1[[#This Row],[H]])/표1[[#This Row],[AB]]</f>
        <v>0.11023622047244094</v>
      </c>
      <c r="AH333">
        <f>(표1[[#This Row],[TB]]-표1[[#This Row],[H]]+표1[[#This Row],[BB]]+표1[[#This Row],[SB]]-표1[[#This Row],[CS]])/표1[[#This Row],[AB]]</f>
        <v>0.1889763779527559</v>
      </c>
      <c r="AI333">
        <f>(표1[[#This Row],[TB]]+표1[[#This Row],[BB]]+표1[[#This Row],[HBP]]+표1[[#This Row],[SB]]-표1[[#This Row],[CS]])/(표1[[#This Row],[AB]]-표1[[#This Row],[H]]+표1[[#This Row],[CS]]+표1[[#This Row],[GDP]])</f>
        <v>0.57475083056478404</v>
      </c>
      <c r="AJ33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41.490719257540604</v>
      </c>
      <c r="AK333">
        <f>표1[[#This Row],[RC]]/((표1[[#This Row],[AB]]-표1[[#This Row],[H]]+표1[[#This Row],[SAC]]+표1[[#This Row],[SF]]+표1[[#This Row],[CS]]+표1[[#This Row],[GDP]])/27)</f>
        <v>3.5450931011189755</v>
      </c>
      <c r="AL33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0.29530622009569374</v>
      </c>
      <c r="AM33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41.164000000000001</v>
      </c>
    </row>
    <row r="334" spans="1:39" x14ac:dyDescent="0.3">
      <c r="A334" t="str">
        <f>_xlfn.CONCAT(표1[[#This Row],[Year]],표1[[#This Row],[Player]])</f>
        <v>2009브룸바</v>
      </c>
      <c r="B334">
        <v>2009</v>
      </c>
      <c r="C334">
        <v>41</v>
      </c>
      <c r="D334" t="s">
        <v>48</v>
      </c>
      <c r="E334" t="s">
        <v>113</v>
      </c>
      <c r="F334">
        <v>0.245</v>
      </c>
      <c r="G334">
        <v>123</v>
      </c>
      <c r="H334">
        <v>526</v>
      </c>
      <c r="I334">
        <v>436</v>
      </c>
      <c r="J334">
        <v>69</v>
      </c>
      <c r="K334">
        <v>107</v>
      </c>
      <c r="L334">
        <f>표1[[#This Row],[H]]-표1[[#This Row],[2B]]-표1[[#This Row],[3B]]-표1[[#This Row],[HR]]</f>
        <v>58</v>
      </c>
      <c r="M334">
        <v>21</v>
      </c>
      <c r="N334">
        <v>1</v>
      </c>
      <c r="O334">
        <v>27</v>
      </c>
      <c r="P334">
        <v>211</v>
      </c>
      <c r="Q334">
        <v>86</v>
      </c>
      <c r="R334">
        <v>0</v>
      </c>
      <c r="S334">
        <v>2</v>
      </c>
      <c r="T334">
        <v>86</v>
      </c>
      <c r="U334">
        <v>9</v>
      </c>
      <c r="V334">
        <v>2</v>
      </c>
      <c r="W334">
        <v>2</v>
      </c>
      <c r="X334">
        <v>2</v>
      </c>
      <c r="Y334">
        <v>111</v>
      </c>
      <c r="Z334">
        <v>17</v>
      </c>
      <c r="AA334">
        <v>0.48399999999999999</v>
      </c>
      <c r="AB334">
        <v>0.371</v>
      </c>
      <c r="AC334">
        <v>0.85499999999999998</v>
      </c>
      <c r="AD334">
        <v>21</v>
      </c>
      <c r="AE334">
        <v>0.27100000000000002</v>
      </c>
      <c r="AF334">
        <v>0</v>
      </c>
      <c r="AG334">
        <f>(표1[[#This Row],[TB]]-표1[[#This Row],[H]])/표1[[#This Row],[AB]]</f>
        <v>0.23853211009174313</v>
      </c>
      <c r="AH334">
        <f>(표1[[#This Row],[TB]]-표1[[#This Row],[H]]+표1[[#This Row],[BB]]+표1[[#This Row],[SB]]-표1[[#This Row],[CS]])/표1[[#This Row],[AB]]</f>
        <v>0.43577981651376146</v>
      </c>
      <c r="AI334">
        <f>(표1[[#This Row],[TB]]+표1[[#This Row],[BB]]+표1[[#This Row],[HBP]]+표1[[#This Row],[SB]]-표1[[#This Row],[CS]])/(표1[[#This Row],[AB]]-표1[[#This Row],[H]]+표1[[#This Row],[CS]]+표1[[#This Row],[GDP]])</f>
        <v>0.85919540229885061</v>
      </c>
      <c r="AJ33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78.16942965779468</v>
      </c>
      <c r="AK334">
        <f>표1[[#This Row],[RC]]/((표1[[#This Row],[AB]]-표1[[#This Row],[H]]+표1[[#This Row],[SAC]]+표1[[#This Row],[SF]]+표1[[#This Row],[CS]]+표1[[#This Row],[GDP]])/27)</f>
        <v>6.030213145029875</v>
      </c>
      <c r="AL33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0.3664970986460348</v>
      </c>
      <c r="AM33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76.821999999999974</v>
      </c>
    </row>
    <row r="335" spans="1:39" x14ac:dyDescent="0.3">
      <c r="A335" t="str">
        <f>_xlfn.CONCAT(표1[[#This Row],[Year]],표1[[#This Row],[Player]])</f>
        <v>2009안치홍</v>
      </c>
      <c r="B335">
        <v>2009</v>
      </c>
      <c r="C335">
        <v>42</v>
      </c>
      <c r="D335" t="s">
        <v>122</v>
      </c>
      <c r="E335" t="s">
        <v>13</v>
      </c>
      <c r="F335">
        <v>0.23499999999999999</v>
      </c>
      <c r="G335">
        <v>123</v>
      </c>
      <c r="H335">
        <v>415</v>
      </c>
      <c r="I335">
        <v>371</v>
      </c>
      <c r="J335">
        <v>53</v>
      </c>
      <c r="K335">
        <v>87</v>
      </c>
      <c r="L335">
        <f>표1[[#This Row],[H]]-표1[[#This Row],[2B]]-표1[[#This Row],[3B]]-표1[[#This Row],[HR]]</f>
        <v>56</v>
      </c>
      <c r="M335">
        <v>13</v>
      </c>
      <c r="N335">
        <v>4</v>
      </c>
      <c r="O335">
        <v>14</v>
      </c>
      <c r="P335">
        <v>150</v>
      </c>
      <c r="Q335">
        <v>38</v>
      </c>
      <c r="R335">
        <v>7</v>
      </c>
      <c r="S335">
        <v>3</v>
      </c>
      <c r="T335">
        <v>32</v>
      </c>
      <c r="U335">
        <v>1</v>
      </c>
      <c r="V335">
        <v>8</v>
      </c>
      <c r="W335">
        <v>5</v>
      </c>
      <c r="X335">
        <v>2</v>
      </c>
      <c r="Y335">
        <v>103</v>
      </c>
      <c r="Z335">
        <v>10</v>
      </c>
      <c r="AA335">
        <v>0.40400000000000003</v>
      </c>
      <c r="AB335">
        <v>0.29699999999999999</v>
      </c>
      <c r="AC335">
        <v>0.70099999999999996</v>
      </c>
      <c r="AD335">
        <v>20</v>
      </c>
      <c r="AE335">
        <v>0.186</v>
      </c>
      <c r="AF335">
        <v>0.28599999999999998</v>
      </c>
      <c r="AG335">
        <f>(표1[[#This Row],[TB]]-표1[[#This Row],[H]])/표1[[#This Row],[AB]]</f>
        <v>0.16981132075471697</v>
      </c>
      <c r="AH335">
        <f>(표1[[#This Row],[TB]]-표1[[#This Row],[H]]+표1[[#This Row],[BB]]+표1[[#This Row],[SB]]-표1[[#This Row],[CS]])/표1[[#This Row],[AB]]</f>
        <v>0.26415094339622641</v>
      </c>
      <c r="AI335">
        <f>(표1[[#This Row],[TB]]+표1[[#This Row],[BB]]+표1[[#This Row],[HBP]]+표1[[#This Row],[SB]]-표1[[#This Row],[CS]])/(표1[[#This Row],[AB]]-표1[[#This Row],[H]]+표1[[#This Row],[CS]]+표1[[#This Row],[GDP]])</f>
        <v>0.62541806020066892</v>
      </c>
      <c r="AJ33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42.895518072289157</v>
      </c>
      <c r="AK335">
        <f>표1[[#This Row],[RC]]/((표1[[#This Row],[AB]]-표1[[#This Row],[H]]+표1[[#This Row],[SAC]]+표1[[#This Row],[SF]]+표1[[#This Row],[CS]]+표1[[#This Row],[GDP]])/27)</f>
        <v>3.7481520645689552</v>
      </c>
      <c r="AL33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0.30440786240786238</v>
      </c>
      <c r="AM33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44.295999999999992</v>
      </c>
    </row>
    <row r="336" spans="1:39" x14ac:dyDescent="0.3">
      <c r="A336" t="str">
        <f>_xlfn.CONCAT(표1[[#This Row],[Year]],표1[[#This Row],[Player]])</f>
        <v>2009김상훈</v>
      </c>
      <c r="B336">
        <v>2009</v>
      </c>
      <c r="C336">
        <v>43</v>
      </c>
      <c r="D336" t="s">
        <v>33</v>
      </c>
      <c r="E336" t="s">
        <v>13</v>
      </c>
      <c r="F336">
        <v>0.23</v>
      </c>
      <c r="G336">
        <v>124</v>
      </c>
      <c r="H336">
        <v>441</v>
      </c>
      <c r="I336">
        <v>379</v>
      </c>
      <c r="J336">
        <v>35</v>
      </c>
      <c r="K336">
        <v>87</v>
      </c>
      <c r="L336">
        <f>표1[[#This Row],[H]]-표1[[#This Row],[2B]]-표1[[#This Row],[3B]]-표1[[#This Row],[HR]]</f>
        <v>61</v>
      </c>
      <c r="M336">
        <v>14</v>
      </c>
      <c r="N336">
        <v>0</v>
      </c>
      <c r="O336">
        <v>12</v>
      </c>
      <c r="P336">
        <v>137</v>
      </c>
      <c r="Q336">
        <v>65</v>
      </c>
      <c r="R336">
        <v>8</v>
      </c>
      <c r="S336">
        <v>4</v>
      </c>
      <c r="T336">
        <v>46</v>
      </c>
      <c r="U336">
        <v>2</v>
      </c>
      <c r="V336">
        <v>2</v>
      </c>
      <c r="W336">
        <v>1</v>
      </c>
      <c r="X336">
        <v>4</v>
      </c>
      <c r="Y336">
        <v>72</v>
      </c>
      <c r="Z336">
        <v>10</v>
      </c>
      <c r="AA336">
        <v>0.36099999999999999</v>
      </c>
      <c r="AB336">
        <v>0.316</v>
      </c>
      <c r="AC336">
        <v>0.67700000000000005</v>
      </c>
      <c r="AD336">
        <v>17</v>
      </c>
      <c r="AE336">
        <v>0.32</v>
      </c>
      <c r="AF336">
        <v>0</v>
      </c>
      <c r="AG336">
        <f>(표1[[#This Row],[TB]]-표1[[#This Row],[H]])/표1[[#This Row],[AB]]</f>
        <v>0.13192612137203166</v>
      </c>
      <c r="AH336">
        <f>(표1[[#This Row],[TB]]-표1[[#This Row],[H]]+표1[[#This Row],[BB]]+표1[[#This Row],[SB]]-표1[[#This Row],[CS]])/표1[[#This Row],[AB]]</f>
        <v>0.25593667546174143</v>
      </c>
      <c r="AI336">
        <f>(표1[[#This Row],[TB]]+표1[[#This Row],[BB]]+표1[[#This Row],[HBP]]+표1[[#This Row],[SB]]-표1[[#This Row],[CS]])/(표1[[#This Row],[AB]]-표1[[#This Row],[H]]+표1[[#This Row],[CS]]+표1[[#This Row],[GDP]])</f>
        <v>0.62046204620462042</v>
      </c>
      <c r="AJ33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44.788571428571423</v>
      </c>
      <c r="AK336">
        <f>표1[[#This Row],[RC]]/((표1[[#This Row],[AB]]-표1[[#This Row],[H]]+표1[[#This Row],[SAC]]+표1[[#This Row],[SF]]+표1[[#This Row],[CS]]+표1[[#This Row],[GDP]])/27)</f>
        <v>3.8390204081632651</v>
      </c>
      <c r="AL33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0.30048723897911833</v>
      </c>
      <c r="AM33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45.963999999999999</v>
      </c>
    </row>
    <row r="337" spans="1:39" x14ac:dyDescent="0.3">
      <c r="A337" t="str">
        <f>_xlfn.CONCAT(표1[[#This Row],[Year]],표1[[#This Row],[Player]])</f>
        <v>2010이대호</v>
      </c>
      <c r="B337">
        <v>2010</v>
      </c>
      <c r="C337">
        <v>1</v>
      </c>
      <c r="D337" t="s">
        <v>64</v>
      </c>
      <c r="E337" t="s">
        <v>17</v>
      </c>
      <c r="F337">
        <v>0.36399999999999999</v>
      </c>
      <c r="G337">
        <v>127</v>
      </c>
      <c r="H337">
        <v>552</v>
      </c>
      <c r="I337">
        <v>478</v>
      </c>
      <c r="J337">
        <v>99</v>
      </c>
      <c r="K337">
        <v>174</v>
      </c>
      <c r="L337">
        <f>표1[[#This Row],[H]]-표1[[#This Row],[2B]]-표1[[#This Row],[3B]]-표1[[#This Row],[HR]]</f>
        <v>117</v>
      </c>
      <c r="M337">
        <v>13</v>
      </c>
      <c r="N337">
        <v>0</v>
      </c>
      <c r="O337">
        <v>44</v>
      </c>
      <c r="P337">
        <v>319</v>
      </c>
      <c r="Q337">
        <v>133</v>
      </c>
      <c r="R337">
        <v>0</v>
      </c>
      <c r="S337">
        <v>3</v>
      </c>
      <c r="T337">
        <v>61</v>
      </c>
      <c r="U337">
        <v>6</v>
      </c>
      <c r="V337">
        <v>0</v>
      </c>
      <c r="W337">
        <v>2</v>
      </c>
      <c r="X337">
        <v>10</v>
      </c>
      <c r="Y337">
        <v>77</v>
      </c>
      <c r="Z337">
        <v>15</v>
      </c>
      <c r="AA337">
        <v>0.66700000000000004</v>
      </c>
      <c r="AB337">
        <v>0.44400000000000001</v>
      </c>
      <c r="AC337">
        <v>1.111</v>
      </c>
      <c r="AD337">
        <v>51</v>
      </c>
      <c r="AE337">
        <v>0.42599999999999999</v>
      </c>
      <c r="AF337">
        <v>0</v>
      </c>
      <c r="AG337">
        <f>(표1[[#This Row],[TB]]-표1[[#This Row],[H]])/표1[[#This Row],[AB]]</f>
        <v>0.30334728033472802</v>
      </c>
      <c r="AH337">
        <f>(표1[[#This Row],[TB]]-표1[[#This Row],[H]]+표1[[#This Row],[BB]]+표1[[#This Row],[SB]]-표1[[#This Row],[CS]])/표1[[#This Row],[AB]]</f>
        <v>0.42677824267782427</v>
      </c>
      <c r="AI337">
        <f>(표1[[#This Row],[TB]]+표1[[#This Row],[BB]]+표1[[#This Row],[HBP]]+표1[[#This Row],[SB]]-표1[[#This Row],[CS]])/(표1[[#This Row],[AB]]-표1[[#This Row],[H]]+표1[[#This Row],[CS]]+표1[[#This Row],[GDP]])</f>
        <v>1.2087227414330217</v>
      </c>
      <c r="AJ33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139.38565217391303</v>
      </c>
      <c r="AK337">
        <f>표1[[#This Row],[RC]]/((표1[[#This Row],[AB]]-표1[[#This Row],[H]]+표1[[#This Row],[SAC]]+표1[[#This Row],[SF]]+표1[[#This Row],[CS]]+표1[[#This Row],[GDP]])/27)</f>
        <v>11.615471014492753</v>
      </c>
      <c r="AL33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0.46803296703296704</v>
      </c>
      <c r="AM33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121.764</v>
      </c>
    </row>
    <row r="338" spans="1:39" x14ac:dyDescent="0.3">
      <c r="A338" t="str">
        <f>_xlfn.CONCAT(표1[[#This Row],[Year]],표1[[#This Row],[Player]])</f>
        <v>2010홍성흔</v>
      </c>
      <c r="B338">
        <v>2010</v>
      </c>
      <c r="C338">
        <v>2</v>
      </c>
      <c r="D338" t="s">
        <v>49</v>
      </c>
      <c r="E338" t="s">
        <v>17</v>
      </c>
      <c r="F338">
        <v>0.35</v>
      </c>
      <c r="G338">
        <v>111</v>
      </c>
      <c r="H338">
        <v>498</v>
      </c>
      <c r="I338">
        <v>431</v>
      </c>
      <c r="J338">
        <v>88</v>
      </c>
      <c r="K338">
        <v>151</v>
      </c>
      <c r="L338">
        <f>표1[[#This Row],[H]]-표1[[#This Row],[2B]]-표1[[#This Row],[3B]]-표1[[#This Row],[HR]]</f>
        <v>96</v>
      </c>
      <c r="M338">
        <v>28</v>
      </c>
      <c r="N338">
        <v>1</v>
      </c>
      <c r="O338">
        <v>26</v>
      </c>
      <c r="P338">
        <v>259</v>
      </c>
      <c r="Q338">
        <v>116</v>
      </c>
      <c r="R338">
        <v>1</v>
      </c>
      <c r="S338">
        <v>5</v>
      </c>
      <c r="T338">
        <v>54</v>
      </c>
      <c r="U338">
        <v>3</v>
      </c>
      <c r="V338">
        <v>2</v>
      </c>
      <c r="W338">
        <v>2</v>
      </c>
      <c r="X338">
        <v>7</v>
      </c>
      <c r="Y338">
        <v>49</v>
      </c>
      <c r="Z338">
        <v>18</v>
      </c>
      <c r="AA338">
        <v>0.60099999999999998</v>
      </c>
      <c r="AB338">
        <v>0.42699999999999999</v>
      </c>
      <c r="AC338">
        <v>1.028</v>
      </c>
      <c r="AD338">
        <v>54</v>
      </c>
      <c r="AE338">
        <v>0.438</v>
      </c>
      <c r="AF338">
        <v>0</v>
      </c>
      <c r="AG338">
        <f>(표1[[#This Row],[TB]]-표1[[#This Row],[H]])/표1[[#This Row],[AB]]</f>
        <v>0.25058004640371229</v>
      </c>
      <c r="AH338">
        <f>(표1[[#This Row],[TB]]-표1[[#This Row],[H]]+표1[[#This Row],[BB]]+표1[[#This Row],[SB]]-표1[[#This Row],[CS]])/표1[[#This Row],[AB]]</f>
        <v>0.37587006960556846</v>
      </c>
      <c r="AI338">
        <f>(표1[[#This Row],[TB]]+표1[[#This Row],[BB]]+표1[[#This Row],[HBP]]+표1[[#This Row],[SB]]-표1[[#This Row],[CS]])/(표1[[#This Row],[AB]]-표1[[#This Row],[H]]+표1[[#This Row],[CS]]+표1[[#This Row],[GDP]])</f>
        <v>1.0666666666666667</v>
      </c>
      <c r="AJ33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107.2732530120482</v>
      </c>
      <c r="AK338">
        <f>표1[[#This Row],[RC]]/((표1[[#This Row],[AB]]-표1[[#This Row],[H]]+표1[[#This Row],[SAC]]+표1[[#This Row],[SF]]+표1[[#This Row],[CS]]+표1[[#This Row],[GDP]])/27)</f>
        <v>9.4652870304748404</v>
      </c>
      <c r="AL33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0.4361457489878543</v>
      </c>
      <c r="AM33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96.468000000000004</v>
      </c>
    </row>
    <row r="339" spans="1:39" x14ac:dyDescent="0.3">
      <c r="A339" t="str">
        <f>_xlfn.CONCAT(표1[[#This Row],[Year]],표1[[#This Row],[Player]])</f>
        <v>2010조성환</v>
      </c>
      <c r="B339">
        <v>2010</v>
      </c>
      <c r="C339">
        <v>3</v>
      </c>
      <c r="D339" t="s">
        <v>16</v>
      </c>
      <c r="E339" t="s">
        <v>17</v>
      </c>
      <c r="F339">
        <v>0.33600000000000002</v>
      </c>
      <c r="G339">
        <v>111</v>
      </c>
      <c r="H339">
        <v>458</v>
      </c>
      <c r="I339">
        <v>414</v>
      </c>
      <c r="J339">
        <v>83</v>
      </c>
      <c r="K339">
        <v>139</v>
      </c>
      <c r="L339">
        <f>표1[[#This Row],[H]]-표1[[#This Row],[2B]]-표1[[#This Row],[3B]]-표1[[#This Row],[HR]]</f>
        <v>100</v>
      </c>
      <c r="M339">
        <v>31</v>
      </c>
      <c r="N339">
        <v>0</v>
      </c>
      <c r="O339">
        <v>8</v>
      </c>
      <c r="P339">
        <v>194</v>
      </c>
      <c r="Q339">
        <v>52</v>
      </c>
      <c r="R339">
        <v>2</v>
      </c>
      <c r="S339">
        <v>3</v>
      </c>
      <c r="T339">
        <v>35</v>
      </c>
      <c r="U339">
        <v>1</v>
      </c>
      <c r="V339">
        <v>8</v>
      </c>
      <c r="W339">
        <v>2</v>
      </c>
      <c r="X339">
        <v>4</v>
      </c>
      <c r="Y339">
        <v>58</v>
      </c>
      <c r="Z339">
        <v>8</v>
      </c>
      <c r="AA339">
        <v>0.46899999999999997</v>
      </c>
      <c r="AB339">
        <v>0.39</v>
      </c>
      <c r="AC339">
        <v>0.85899999999999999</v>
      </c>
      <c r="AD339">
        <v>44</v>
      </c>
      <c r="AE339">
        <v>0.32400000000000001</v>
      </c>
      <c r="AF339">
        <v>0</v>
      </c>
      <c r="AG339">
        <f>(표1[[#This Row],[TB]]-표1[[#This Row],[H]])/표1[[#This Row],[AB]]</f>
        <v>0.13285024154589373</v>
      </c>
      <c r="AH339">
        <f>(표1[[#This Row],[TB]]-표1[[#This Row],[H]]+표1[[#This Row],[BB]]+표1[[#This Row],[SB]]-표1[[#This Row],[CS]])/표1[[#This Row],[AB]]</f>
        <v>0.2318840579710145</v>
      </c>
      <c r="AI339">
        <f>(표1[[#This Row],[TB]]+표1[[#This Row],[BB]]+표1[[#This Row],[HBP]]+표1[[#This Row],[SB]]-표1[[#This Row],[CS]])/(표1[[#This Row],[AB]]-표1[[#This Row],[H]]+표1[[#This Row],[CS]]+표1[[#This Row],[GDP]])</f>
        <v>0.83859649122807023</v>
      </c>
      <c r="AJ33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77.265327510917018</v>
      </c>
      <c r="AK339">
        <f>표1[[#This Row],[RC]]/((표1[[#This Row],[AB]]-표1[[#This Row],[H]]+표1[[#This Row],[SAC]]+표1[[#This Row],[SF]]+표1[[#This Row],[CS]]+표1[[#This Row],[GDP]])/27)</f>
        <v>7.1936684234302053</v>
      </c>
      <c r="AL33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0.37409450549450557</v>
      </c>
      <c r="AM33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70.825999999999993</v>
      </c>
    </row>
    <row r="340" spans="1:39" x14ac:dyDescent="0.3">
      <c r="A340" t="str">
        <f>_xlfn.CONCAT(표1[[#This Row],[Year]],표1[[#This Row],[Player]])</f>
        <v>2010이진영</v>
      </c>
      <c r="B340">
        <v>2010</v>
      </c>
      <c r="C340">
        <v>4</v>
      </c>
      <c r="D340" t="s">
        <v>7</v>
      </c>
      <c r="E340" t="s">
        <v>36</v>
      </c>
      <c r="F340">
        <v>0.33100000000000002</v>
      </c>
      <c r="G340">
        <v>104</v>
      </c>
      <c r="H340">
        <v>417</v>
      </c>
      <c r="I340">
        <v>378</v>
      </c>
      <c r="J340">
        <v>56</v>
      </c>
      <c r="K340">
        <v>125</v>
      </c>
      <c r="L340">
        <f>표1[[#This Row],[H]]-표1[[#This Row],[2B]]-표1[[#This Row],[3B]]-표1[[#This Row],[HR]]</f>
        <v>90</v>
      </c>
      <c r="M340">
        <v>28</v>
      </c>
      <c r="N340">
        <v>0</v>
      </c>
      <c r="O340">
        <v>7</v>
      </c>
      <c r="P340">
        <v>174</v>
      </c>
      <c r="Q340">
        <v>50</v>
      </c>
      <c r="R340">
        <v>2</v>
      </c>
      <c r="S340">
        <v>4</v>
      </c>
      <c r="T340">
        <v>32</v>
      </c>
      <c r="U340">
        <v>0</v>
      </c>
      <c r="V340">
        <v>10</v>
      </c>
      <c r="W340">
        <v>4</v>
      </c>
      <c r="X340">
        <v>1</v>
      </c>
      <c r="Y340">
        <v>40</v>
      </c>
      <c r="Z340">
        <v>7</v>
      </c>
      <c r="AA340">
        <v>0.46</v>
      </c>
      <c r="AB340">
        <v>0.38100000000000001</v>
      </c>
      <c r="AC340">
        <v>0.84099999999999997</v>
      </c>
      <c r="AD340">
        <v>36</v>
      </c>
      <c r="AE340">
        <v>0.37</v>
      </c>
      <c r="AF340">
        <v>0.5</v>
      </c>
      <c r="AG340">
        <f>(표1[[#This Row],[TB]]-표1[[#This Row],[H]])/표1[[#This Row],[AB]]</f>
        <v>0.12962962962962962</v>
      </c>
      <c r="AH340">
        <f>(표1[[#This Row],[TB]]-표1[[#This Row],[H]]+표1[[#This Row],[BB]]+표1[[#This Row],[SB]]-표1[[#This Row],[CS]])/표1[[#This Row],[AB]]</f>
        <v>0.23015873015873015</v>
      </c>
      <c r="AI340">
        <f>(표1[[#This Row],[TB]]+표1[[#This Row],[BB]]+표1[[#This Row],[HBP]]+표1[[#This Row],[SB]]-표1[[#This Row],[CS]])/(표1[[#This Row],[AB]]-표1[[#This Row],[H]]+표1[[#This Row],[CS]]+표1[[#This Row],[GDP]])</f>
        <v>0.80681818181818177</v>
      </c>
      <c r="AJ34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67.295683453237402</v>
      </c>
      <c r="AK340">
        <f>표1[[#This Row],[RC]]/((표1[[#This Row],[AB]]-표1[[#This Row],[H]]+표1[[#This Row],[SAC]]+표1[[#This Row],[SF]]+표1[[#This Row],[CS]]+표1[[#This Row],[GDP]])/27)</f>
        <v>6.7295683453237398</v>
      </c>
      <c r="AL34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0.36625542168674702</v>
      </c>
      <c r="AM34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62.859999999999978</v>
      </c>
    </row>
    <row r="341" spans="1:39" x14ac:dyDescent="0.3">
      <c r="A341" t="str">
        <f>_xlfn.CONCAT(표1[[#This Row],[Year]],표1[[#This Row],[Player]])</f>
        <v>2010최준석</v>
      </c>
      <c r="B341">
        <v>2010</v>
      </c>
      <c r="C341">
        <v>5</v>
      </c>
      <c r="D341" t="s">
        <v>95</v>
      </c>
      <c r="E341" t="s">
        <v>1</v>
      </c>
      <c r="F341">
        <v>0.32100000000000001</v>
      </c>
      <c r="G341">
        <v>127</v>
      </c>
      <c r="H341">
        <v>482</v>
      </c>
      <c r="I341">
        <v>424</v>
      </c>
      <c r="J341">
        <v>63</v>
      </c>
      <c r="K341">
        <v>136</v>
      </c>
      <c r="L341">
        <f>표1[[#This Row],[H]]-표1[[#This Row],[2B]]-표1[[#This Row],[3B]]-표1[[#This Row],[HR]]</f>
        <v>87</v>
      </c>
      <c r="M341">
        <v>26</v>
      </c>
      <c r="N341">
        <v>1</v>
      </c>
      <c r="O341">
        <v>22</v>
      </c>
      <c r="P341">
        <v>230</v>
      </c>
      <c r="Q341">
        <v>82</v>
      </c>
      <c r="R341">
        <v>1</v>
      </c>
      <c r="S341">
        <v>2</v>
      </c>
      <c r="T341">
        <v>50</v>
      </c>
      <c r="U341">
        <v>5</v>
      </c>
      <c r="V341">
        <v>0</v>
      </c>
      <c r="W341">
        <v>5</v>
      </c>
      <c r="X341">
        <v>5</v>
      </c>
      <c r="Y341">
        <v>83</v>
      </c>
      <c r="Z341">
        <v>17</v>
      </c>
      <c r="AA341">
        <v>0.54200000000000004</v>
      </c>
      <c r="AB341">
        <v>0.39700000000000002</v>
      </c>
      <c r="AC341">
        <v>0.93899999999999995</v>
      </c>
      <c r="AD341">
        <v>38</v>
      </c>
      <c r="AE341">
        <v>0.34200000000000003</v>
      </c>
      <c r="AF341">
        <v>0.5</v>
      </c>
      <c r="AG341">
        <f>(표1[[#This Row],[TB]]-표1[[#This Row],[H]])/표1[[#This Row],[AB]]</f>
        <v>0.22169811320754718</v>
      </c>
      <c r="AH341">
        <f>(표1[[#This Row],[TB]]-표1[[#This Row],[H]]+표1[[#This Row],[BB]]+표1[[#This Row],[SB]]-표1[[#This Row],[CS]])/표1[[#This Row],[AB]]</f>
        <v>0.32783018867924529</v>
      </c>
      <c r="AI341">
        <f>(표1[[#This Row],[TB]]+표1[[#This Row],[BB]]+표1[[#This Row],[HBP]]+표1[[#This Row],[SB]]-표1[[#This Row],[CS]])/(표1[[#This Row],[AB]]-표1[[#This Row],[H]]+표1[[#This Row],[CS]]+표1[[#This Row],[GDP]])</f>
        <v>0.90322580645161288</v>
      </c>
      <c r="AJ34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85.748215767634861</v>
      </c>
      <c r="AK341">
        <f>표1[[#This Row],[RC]]/((표1[[#This Row],[AB]]-표1[[#This Row],[H]]+표1[[#This Row],[SAC]]+표1[[#This Row],[SF]]+표1[[#This Row],[CS]]+표1[[#This Row],[GDP]])/27)</f>
        <v>7.3968109448119526</v>
      </c>
      <c r="AL34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0.40160504201680669</v>
      </c>
      <c r="AM34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79.495999999999995</v>
      </c>
    </row>
    <row r="342" spans="1:39" x14ac:dyDescent="0.3">
      <c r="A342" t="str">
        <f>_xlfn.CONCAT(표1[[#This Row],[Year]],표1[[#This Row],[Player]])</f>
        <v>2010조인성</v>
      </c>
      <c r="B342">
        <v>2010</v>
      </c>
      <c r="C342">
        <v>6</v>
      </c>
      <c r="D342" t="s">
        <v>43</v>
      </c>
      <c r="E342" t="s">
        <v>36</v>
      </c>
      <c r="F342">
        <v>0.317</v>
      </c>
      <c r="G342">
        <v>133</v>
      </c>
      <c r="H342">
        <v>511</v>
      </c>
      <c r="I342">
        <v>457</v>
      </c>
      <c r="J342">
        <v>69</v>
      </c>
      <c r="K342">
        <v>145</v>
      </c>
      <c r="L342">
        <f>표1[[#This Row],[H]]-표1[[#This Row],[2B]]-표1[[#This Row],[3B]]-표1[[#This Row],[HR]]</f>
        <v>92</v>
      </c>
      <c r="M342">
        <v>24</v>
      </c>
      <c r="N342">
        <v>1</v>
      </c>
      <c r="O342">
        <v>28</v>
      </c>
      <c r="P342">
        <v>255</v>
      </c>
      <c r="Q342">
        <v>107</v>
      </c>
      <c r="R342">
        <v>5</v>
      </c>
      <c r="S342">
        <v>5</v>
      </c>
      <c r="T342">
        <v>41</v>
      </c>
      <c r="U342">
        <v>8</v>
      </c>
      <c r="V342">
        <v>2</v>
      </c>
      <c r="W342">
        <v>0</v>
      </c>
      <c r="X342">
        <v>3</v>
      </c>
      <c r="Y342">
        <v>83</v>
      </c>
      <c r="Z342">
        <v>19</v>
      </c>
      <c r="AA342">
        <v>0.55800000000000005</v>
      </c>
      <c r="AB342">
        <v>0.374</v>
      </c>
      <c r="AC342">
        <v>0.93200000000000005</v>
      </c>
      <c r="AD342">
        <v>42</v>
      </c>
      <c r="AE342">
        <v>0.35499999999999998</v>
      </c>
      <c r="AF342">
        <v>0</v>
      </c>
      <c r="AG342">
        <f>(표1[[#This Row],[TB]]-표1[[#This Row],[H]])/표1[[#This Row],[AB]]</f>
        <v>0.24070021881838075</v>
      </c>
      <c r="AH342">
        <f>(표1[[#This Row],[TB]]-표1[[#This Row],[H]]+표1[[#This Row],[BB]]+표1[[#This Row],[SB]]-표1[[#This Row],[CS]])/표1[[#This Row],[AB]]</f>
        <v>0.33479212253829321</v>
      </c>
      <c r="AI342">
        <f>(표1[[#This Row],[TB]]+표1[[#This Row],[BB]]+표1[[#This Row],[HBP]]+표1[[#This Row],[SB]]-표1[[#This Row],[CS]])/(표1[[#This Row],[AB]]-표1[[#This Row],[H]]+표1[[#This Row],[CS]]+표1[[#This Row],[GDP]])</f>
        <v>0.90936555891238668</v>
      </c>
      <c r="AJ34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90.023483365949133</v>
      </c>
      <c r="AK342">
        <f>표1[[#This Row],[RC]]/((표1[[#This Row],[AB]]-표1[[#This Row],[H]]+표1[[#This Row],[SAC]]+표1[[#This Row],[SF]]+표1[[#This Row],[CS]]+표1[[#This Row],[GDP]])/27)</f>
        <v>7.1279590934915733</v>
      </c>
      <c r="AL34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0.39293574297188755</v>
      </c>
      <c r="AM34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85.516000000000005</v>
      </c>
    </row>
    <row r="343" spans="1:39" x14ac:dyDescent="0.3">
      <c r="A343" t="str">
        <f>_xlfn.CONCAT(표1[[#This Row],[Year]],표1[[#This Row],[Player]])</f>
        <v>2010김현수</v>
      </c>
      <c r="B343">
        <v>2010</v>
      </c>
      <c r="C343">
        <v>7</v>
      </c>
      <c r="D343" t="s">
        <v>98</v>
      </c>
      <c r="E343" t="s">
        <v>1</v>
      </c>
      <c r="F343">
        <v>0.317</v>
      </c>
      <c r="G343">
        <v>132</v>
      </c>
      <c r="H343">
        <v>565</v>
      </c>
      <c r="I343">
        <v>473</v>
      </c>
      <c r="J343">
        <v>88</v>
      </c>
      <c r="K343">
        <v>150</v>
      </c>
      <c r="L343">
        <f>표1[[#This Row],[H]]-표1[[#This Row],[2B]]-표1[[#This Row],[3B]]-표1[[#This Row],[HR]]</f>
        <v>97</v>
      </c>
      <c r="M343">
        <v>29</v>
      </c>
      <c r="N343">
        <v>0</v>
      </c>
      <c r="O343">
        <v>24</v>
      </c>
      <c r="P343">
        <v>251</v>
      </c>
      <c r="Q343">
        <v>89</v>
      </c>
      <c r="R343">
        <v>0</v>
      </c>
      <c r="S343">
        <v>8</v>
      </c>
      <c r="T343">
        <v>78</v>
      </c>
      <c r="U343">
        <v>6</v>
      </c>
      <c r="V343">
        <v>4</v>
      </c>
      <c r="W343">
        <v>8</v>
      </c>
      <c r="X343">
        <v>6</v>
      </c>
      <c r="Y343">
        <v>64</v>
      </c>
      <c r="Z343">
        <v>9</v>
      </c>
      <c r="AA343">
        <v>0.53100000000000003</v>
      </c>
      <c r="AB343">
        <v>0.41399999999999998</v>
      </c>
      <c r="AC343">
        <v>0.94499999999999995</v>
      </c>
      <c r="AD343">
        <v>45</v>
      </c>
      <c r="AE343">
        <v>0.309</v>
      </c>
      <c r="AF343">
        <v>0</v>
      </c>
      <c r="AG343">
        <f>(표1[[#This Row],[TB]]-표1[[#This Row],[H]])/표1[[#This Row],[AB]]</f>
        <v>0.21353065539112051</v>
      </c>
      <c r="AH343">
        <f>(표1[[#This Row],[TB]]-표1[[#This Row],[H]]+표1[[#This Row],[BB]]+표1[[#This Row],[SB]]-표1[[#This Row],[CS]])/표1[[#This Row],[AB]]</f>
        <v>0.3699788583509514</v>
      </c>
      <c r="AI343">
        <f>(표1[[#This Row],[TB]]+표1[[#This Row],[BB]]+표1[[#This Row],[HBP]]+표1[[#This Row],[SB]]-표1[[#This Row],[CS]])/(표1[[#This Row],[AB]]-표1[[#This Row],[H]]+표1[[#This Row],[CS]]+표1[[#This Row],[GDP]])</f>
        <v>0.97352941176470587</v>
      </c>
      <c r="AJ34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106.58732743362832</v>
      </c>
      <c r="AK343">
        <f>표1[[#This Row],[RC]]/((표1[[#This Row],[AB]]-표1[[#This Row],[H]]+표1[[#This Row],[SAC]]+표1[[#This Row],[SF]]+표1[[#This Row],[CS]]+표1[[#This Row],[GDP]])/27)</f>
        <v>8.2697064388159891</v>
      </c>
      <c r="AL34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0.40371556350626114</v>
      </c>
      <c r="AM34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100.16799999999999</v>
      </c>
    </row>
    <row r="344" spans="1:39" x14ac:dyDescent="0.3">
      <c r="A344" t="str">
        <f>_xlfn.CONCAT(표1[[#This Row],[Year]],표1[[#This Row],[Player]])</f>
        <v>2010김강민</v>
      </c>
      <c r="B344">
        <v>2010</v>
      </c>
      <c r="C344">
        <v>8</v>
      </c>
      <c r="D344" t="s">
        <v>123</v>
      </c>
      <c r="E344" t="s">
        <v>8</v>
      </c>
      <c r="F344">
        <v>0.317</v>
      </c>
      <c r="G344">
        <v>115</v>
      </c>
      <c r="H344">
        <v>450</v>
      </c>
      <c r="I344">
        <v>401</v>
      </c>
      <c r="J344">
        <v>74</v>
      </c>
      <c r="K344">
        <v>127</v>
      </c>
      <c r="L344">
        <f>표1[[#This Row],[H]]-표1[[#This Row],[2B]]-표1[[#This Row],[3B]]-표1[[#This Row],[HR]]</f>
        <v>96</v>
      </c>
      <c r="M344">
        <v>19</v>
      </c>
      <c r="N344">
        <v>2</v>
      </c>
      <c r="O344">
        <v>10</v>
      </c>
      <c r="P344">
        <v>180</v>
      </c>
      <c r="Q344">
        <v>72</v>
      </c>
      <c r="R344">
        <v>11</v>
      </c>
      <c r="S344">
        <v>3</v>
      </c>
      <c r="T344">
        <v>33</v>
      </c>
      <c r="U344">
        <v>0</v>
      </c>
      <c r="V344">
        <v>23</v>
      </c>
      <c r="W344">
        <v>9</v>
      </c>
      <c r="X344">
        <v>2</v>
      </c>
      <c r="Y344">
        <v>51</v>
      </c>
      <c r="Z344">
        <v>5</v>
      </c>
      <c r="AA344">
        <v>0.44900000000000001</v>
      </c>
      <c r="AB344">
        <v>0.36899999999999999</v>
      </c>
      <c r="AC344">
        <v>0.81799999999999995</v>
      </c>
      <c r="AD344">
        <v>32</v>
      </c>
      <c r="AE344">
        <v>0.316</v>
      </c>
      <c r="AF344">
        <v>0</v>
      </c>
      <c r="AG344">
        <f>(표1[[#This Row],[TB]]-표1[[#This Row],[H]])/표1[[#This Row],[AB]]</f>
        <v>0.13216957605985039</v>
      </c>
      <c r="AH344">
        <f>(표1[[#This Row],[TB]]-표1[[#This Row],[H]]+표1[[#This Row],[BB]]+표1[[#This Row],[SB]]-표1[[#This Row],[CS]])/표1[[#This Row],[AB]]</f>
        <v>0.24937655860349128</v>
      </c>
      <c r="AI344">
        <f>(표1[[#This Row],[TB]]+표1[[#This Row],[BB]]+표1[[#This Row],[HBP]]+표1[[#This Row],[SB]]-표1[[#This Row],[CS]])/(표1[[#This Row],[AB]]-표1[[#This Row],[H]]+표1[[#This Row],[CS]]+표1[[#This Row],[GDP]])</f>
        <v>0.79513888888888884</v>
      </c>
      <c r="AJ34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68.520711111111112</v>
      </c>
      <c r="AK344">
        <f>표1[[#This Row],[RC]]/((표1[[#This Row],[AB]]-표1[[#This Row],[H]]+표1[[#This Row],[SAC]]+표1[[#This Row],[SF]]+표1[[#This Row],[CS]]+표1[[#This Row],[GDP]])/27)</f>
        <v>6.1260238410596024</v>
      </c>
      <c r="AL34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0.35708428246013663</v>
      </c>
      <c r="AM34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65.952000000000012</v>
      </c>
    </row>
    <row r="345" spans="1:39" x14ac:dyDescent="0.3">
      <c r="A345" t="str">
        <f>_xlfn.CONCAT(표1[[#This Row],[Year]],표1[[#This Row],[Player]])</f>
        <v>2010이종욱</v>
      </c>
      <c r="B345">
        <v>2010</v>
      </c>
      <c r="C345">
        <v>9</v>
      </c>
      <c r="D345" t="s">
        <v>80</v>
      </c>
      <c r="E345" t="s">
        <v>1</v>
      </c>
      <c r="F345">
        <v>0.312</v>
      </c>
      <c r="G345">
        <v>114</v>
      </c>
      <c r="H345">
        <v>471</v>
      </c>
      <c r="I345">
        <v>413</v>
      </c>
      <c r="J345">
        <v>66</v>
      </c>
      <c r="K345">
        <v>129</v>
      </c>
      <c r="L345">
        <f>표1[[#This Row],[H]]-표1[[#This Row],[2B]]-표1[[#This Row],[3B]]-표1[[#This Row],[HR]]</f>
        <v>106</v>
      </c>
      <c r="M345">
        <v>16</v>
      </c>
      <c r="N345">
        <v>2</v>
      </c>
      <c r="O345">
        <v>5</v>
      </c>
      <c r="P345">
        <v>164</v>
      </c>
      <c r="Q345">
        <v>45</v>
      </c>
      <c r="R345">
        <v>6</v>
      </c>
      <c r="S345">
        <v>3</v>
      </c>
      <c r="T345">
        <v>45</v>
      </c>
      <c r="U345">
        <v>1</v>
      </c>
      <c r="V345">
        <v>30</v>
      </c>
      <c r="W345">
        <v>13</v>
      </c>
      <c r="X345">
        <v>4</v>
      </c>
      <c r="Y345">
        <v>46</v>
      </c>
      <c r="Z345">
        <v>3</v>
      </c>
      <c r="AA345">
        <v>0.39700000000000002</v>
      </c>
      <c r="AB345">
        <v>0.38300000000000001</v>
      </c>
      <c r="AC345">
        <v>0.78</v>
      </c>
      <c r="AD345">
        <v>41</v>
      </c>
      <c r="AE345">
        <v>0.35899999999999999</v>
      </c>
      <c r="AF345">
        <v>0</v>
      </c>
      <c r="AG345">
        <f>(표1[[#This Row],[TB]]-표1[[#This Row],[H]])/표1[[#This Row],[AB]]</f>
        <v>8.4745762711864403E-2</v>
      </c>
      <c r="AH345">
        <f>(표1[[#This Row],[TB]]-표1[[#This Row],[H]]+표1[[#This Row],[BB]]+표1[[#This Row],[SB]]-표1[[#This Row],[CS]])/표1[[#This Row],[AB]]</f>
        <v>0.23486682808716708</v>
      </c>
      <c r="AI345">
        <f>(표1[[#This Row],[TB]]+표1[[#This Row],[BB]]+표1[[#This Row],[HBP]]+표1[[#This Row],[SB]]-표1[[#This Row],[CS]])/(표1[[#This Row],[AB]]-표1[[#This Row],[H]]+표1[[#This Row],[CS]]+표1[[#This Row],[GDP]])</f>
        <v>0.76666666666666672</v>
      </c>
      <c r="AJ34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67.675414012738855</v>
      </c>
      <c r="AK345">
        <f>표1[[#This Row],[RC]]/((표1[[#This Row],[AB]]-표1[[#This Row],[H]]+표1[[#This Row],[SAC]]+표1[[#This Row],[SF]]+표1[[#This Row],[CS]]+표1[[#This Row],[GDP]])/27)</f>
        <v>5.9133856904334925</v>
      </c>
      <c r="AL34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0.34608620689655173</v>
      </c>
      <c r="AM34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65.922000000000011</v>
      </c>
    </row>
    <row r="346" spans="1:39" x14ac:dyDescent="0.3">
      <c r="A346" t="str">
        <f>_xlfn.CONCAT(표1[[#This Row],[Year]],표1[[#This Row],[Player]])</f>
        <v>2010이용규</v>
      </c>
      <c r="B346">
        <v>2010</v>
      </c>
      <c r="C346">
        <v>10</v>
      </c>
      <c r="D346" t="s">
        <v>74</v>
      </c>
      <c r="E346" t="s">
        <v>13</v>
      </c>
      <c r="F346">
        <v>0.307</v>
      </c>
      <c r="G346">
        <v>129</v>
      </c>
      <c r="H346">
        <v>555</v>
      </c>
      <c r="I346">
        <v>472</v>
      </c>
      <c r="J346">
        <v>74</v>
      </c>
      <c r="K346">
        <v>145</v>
      </c>
      <c r="L346">
        <f>표1[[#This Row],[H]]-표1[[#This Row],[2B]]-표1[[#This Row],[3B]]-표1[[#This Row],[HR]]</f>
        <v>122</v>
      </c>
      <c r="M346">
        <v>19</v>
      </c>
      <c r="N346">
        <v>1</v>
      </c>
      <c r="O346">
        <v>3</v>
      </c>
      <c r="P346">
        <v>175</v>
      </c>
      <c r="Q346">
        <v>51</v>
      </c>
      <c r="R346">
        <v>7</v>
      </c>
      <c r="S346">
        <v>3</v>
      </c>
      <c r="T346">
        <v>64</v>
      </c>
      <c r="U346">
        <v>2</v>
      </c>
      <c r="V346">
        <v>25</v>
      </c>
      <c r="W346">
        <v>12</v>
      </c>
      <c r="X346">
        <v>9</v>
      </c>
      <c r="Y346">
        <v>50</v>
      </c>
      <c r="Z346">
        <v>10</v>
      </c>
      <c r="AA346">
        <v>0.371</v>
      </c>
      <c r="AB346">
        <v>0.39800000000000002</v>
      </c>
      <c r="AC346">
        <v>0.76900000000000002</v>
      </c>
      <c r="AD346">
        <v>38</v>
      </c>
      <c r="AE346">
        <v>0.35299999999999998</v>
      </c>
      <c r="AF346">
        <v>0</v>
      </c>
      <c r="AG346">
        <f>(표1[[#This Row],[TB]]-표1[[#This Row],[H]])/표1[[#This Row],[AB]]</f>
        <v>6.3559322033898302E-2</v>
      </c>
      <c r="AH346">
        <f>(표1[[#This Row],[TB]]-표1[[#This Row],[H]]+표1[[#This Row],[BB]]+표1[[#This Row],[SB]]-표1[[#This Row],[CS]])/표1[[#This Row],[AB]]</f>
        <v>0.22669491525423729</v>
      </c>
      <c r="AI346">
        <f>(표1[[#This Row],[TB]]+표1[[#This Row],[BB]]+표1[[#This Row],[HBP]]+표1[[#This Row],[SB]]-표1[[#This Row],[CS]])/(표1[[#This Row],[AB]]-표1[[#This Row],[H]]+표1[[#This Row],[CS]]+표1[[#This Row],[GDP]])</f>
        <v>0.74785100286532946</v>
      </c>
      <c r="AJ34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74.748396396396402</v>
      </c>
      <c r="AK346">
        <f>표1[[#This Row],[RC]]/((표1[[#This Row],[AB]]-표1[[#This Row],[H]]+표1[[#This Row],[SAC]]+표1[[#This Row],[SF]]+표1[[#This Row],[CS]]+표1[[#This Row],[GDP]])/27)</f>
        <v>5.6217456899796741</v>
      </c>
      <c r="AL34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0.34585714285714286</v>
      </c>
      <c r="AM34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73.200000000000017</v>
      </c>
    </row>
    <row r="347" spans="1:39" x14ac:dyDescent="0.3">
      <c r="A347" t="str">
        <f>_xlfn.CONCAT(표1[[#This Row],[Year]],표1[[#This Row],[Player]])</f>
        <v>2010박정권</v>
      </c>
      <c r="B347">
        <v>2010</v>
      </c>
      <c r="C347">
        <v>11</v>
      </c>
      <c r="D347" t="s">
        <v>119</v>
      </c>
      <c r="E347" t="s">
        <v>8</v>
      </c>
      <c r="F347">
        <v>0.30599999999999999</v>
      </c>
      <c r="G347">
        <v>124</v>
      </c>
      <c r="H347">
        <v>505</v>
      </c>
      <c r="I347">
        <v>431</v>
      </c>
      <c r="J347">
        <v>76</v>
      </c>
      <c r="K347">
        <v>132</v>
      </c>
      <c r="L347">
        <f>표1[[#This Row],[H]]-표1[[#This Row],[2B]]-표1[[#This Row],[3B]]-표1[[#This Row],[HR]]</f>
        <v>91</v>
      </c>
      <c r="M347">
        <v>19</v>
      </c>
      <c r="N347">
        <v>4</v>
      </c>
      <c r="O347">
        <v>18</v>
      </c>
      <c r="P347">
        <v>213</v>
      </c>
      <c r="Q347">
        <v>76</v>
      </c>
      <c r="R347">
        <v>2</v>
      </c>
      <c r="S347">
        <v>4</v>
      </c>
      <c r="T347">
        <v>63</v>
      </c>
      <c r="U347">
        <v>8</v>
      </c>
      <c r="V347">
        <v>17</v>
      </c>
      <c r="W347">
        <v>5</v>
      </c>
      <c r="X347">
        <v>5</v>
      </c>
      <c r="Y347">
        <v>89</v>
      </c>
      <c r="Z347">
        <v>7</v>
      </c>
      <c r="AA347">
        <v>0.49399999999999999</v>
      </c>
      <c r="AB347">
        <v>0.39800000000000002</v>
      </c>
      <c r="AC347">
        <v>0.89200000000000002</v>
      </c>
      <c r="AD347">
        <v>36</v>
      </c>
      <c r="AE347">
        <v>0.33300000000000002</v>
      </c>
      <c r="AF347">
        <v>0</v>
      </c>
      <c r="AG347">
        <f>(표1[[#This Row],[TB]]-표1[[#This Row],[H]])/표1[[#This Row],[AB]]</f>
        <v>0.18793503480278423</v>
      </c>
      <c r="AH347">
        <f>(표1[[#This Row],[TB]]-표1[[#This Row],[H]]+표1[[#This Row],[BB]]+표1[[#This Row],[SB]]-표1[[#This Row],[CS]])/표1[[#This Row],[AB]]</f>
        <v>0.3619489559164733</v>
      </c>
      <c r="AI347">
        <f>(표1[[#This Row],[TB]]+표1[[#This Row],[BB]]+표1[[#This Row],[HBP]]+표1[[#This Row],[SB]]-표1[[#This Row],[CS]])/(표1[[#This Row],[AB]]-표1[[#This Row],[H]]+표1[[#This Row],[CS]]+표1[[#This Row],[GDP]])</f>
        <v>0.94212218649517687</v>
      </c>
      <c r="AJ34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89.5550099009901</v>
      </c>
      <c r="AK347">
        <f>표1[[#This Row],[RC]]/((표1[[#This Row],[AB]]-표1[[#This Row],[H]]+표1[[#This Row],[SAC]]+표1[[#This Row],[SF]]+표1[[#This Row],[CS]]+표1[[#This Row],[GDP]])/27)</f>
        <v>7.6277137770559396</v>
      </c>
      <c r="AL34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0.38254141414141413</v>
      </c>
      <c r="AM34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84.468000000000032</v>
      </c>
    </row>
    <row r="348" spans="1:39" x14ac:dyDescent="0.3">
      <c r="A348" t="str">
        <f>_xlfn.CONCAT(표1[[#This Row],[Year]],표1[[#This Row],[Player]])</f>
        <v>2010손아섭</v>
      </c>
      <c r="B348">
        <v>2010</v>
      </c>
      <c r="C348">
        <v>12</v>
      </c>
      <c r="D348" t="s">
        <v>124</v>
      </c>
      <c r="E348" t="s">
        <v>17</v>
      </c>
      <c r="F348">
        <v>0.30599999999999999</v>
      </c>
      <c r="G348">
        <v>121</v>
      </c>
      <c r="H348">
        <v>487</v>
      </c>
      <c r="I348">
        <v>422</v>
      </c>
      <c r="J348">
        <v>85</v>
      </c>
      <c r="K348">
        <v>129</v>
      </c>
      <c r="L348">
        <f>표1[[#This Row],[H]]-표1[[#This Row],[2B]]-표1[[#This Row],[3B]]-표1[[#This Row],[HR]]</f>
        <v>95</v>
      </c>
      <c r="M348">
        <v>23</v>
      </c>
      <c r="N348">
        <v>0</v>
      </c>
      <c r="O348">
        <v>11</v>
      </c>
      <c r="P348">
        <v>185</v>
      </c>
      <c r="Q348">
        <v>47</v>
      </c>
      <c r="R348">
        <v>9</v>
      </c>
      <c r="S348">
        <v>5</v>
      </c>
      <c r="T348">
        <v>50</v>
      </c>
      <c r="U348">
        <v>0</v>
      </c>
      <c r="V348">
        <v>6</v>
      </c>
      <c r="W348">
        <v>2</v>
      </c>
      <c r="X348">
        <v>1</v>
      </c>
      <c r="Y348">
        <v>82</v>
      </c>
      <c r="Z348">
        <v>2</v>
      </c>
      <c r="AA348">
        <v>0.438</v>
      </c>
      <c r="AB348">
        <v>0.377</v>
      </c>
      <c r="AC348">
        <v>0.81499999999999995</v>
      </c>
      <c r="AD348">
        <v>37</v>
      </c>
      <c r="AE348">
        <v>0.309</v>
      </c>
      <c r="AF348">
        <v>0.1</v>
      </c>
      <c r="AG348">
        <f>(표1[[#This Row],[TB]]-표1[[#This Row],[H]])/표1[[#This Row],[AB]]</f>
        <v>0.13270142180094788</v>
      </c>
      <c r="AH348">
        <f>(표1[[#This Row],[TB]]-표1[[#This Row],[H]]+표1[[#This Row],[BB]]+표1[[#This Row],[SB]]-표1[[#This Row],[CS]])/표1[[#This Row],[AB]]</f>
        <v>0.26066350710900477</v>
      </c>
      <c r="AI348">
        <f>(표1[[#This Row],[TB]]+표1[[#This Row],[BB]]+표1[[#This Row],[HBP]]+표1[[#This Row],[SB]]-표1[[#This Row],[CS]])/(표1[[#This Row],[AB]]-표1[[#This Row],[H]]+표1[[#This Row],[CS]]+표1[[#This Row],[GDP]])</f>
        <v>0.80808080808080807</v>
      </c>
      <c r="AJ34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75.408952772073917</v>
      </c>
      <c r="AK348">
        <f>표1[[#This Row],[RC]]/((표1[[#This Row],[AB]]-표1[[#This Row],[H]]+표1[[#This Row],[SAC]]+표1[[#This Row],[SF]]+표1[[#This Row],[CS]]+표1[[#This Row],[GDP]])/27)</f>
        <v>6.5467579577041661</v>
      </c>
      <c r="AL34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0.35732426778242682</v>
      </c>
      <c r="AM34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72.124000000000009</v>
      </c>
    </row>
    <row r="349" spans="1:39" x14ac:dyDescent="0.3">
      <c r="A349" t="str">
        <f>_xlfn.CONCAT(표1[[#This Row],[Year]],표1[[#This Row],[Player]])</f>
        <v>2010정근우</v>
      </c>
      <c r="B349">
        <v>2010</v>
      </c>
      <c r="C349">
        <v>13</v>
      </c>
      <c r="D349" t="s">
        <v>79</v>
      </c>
      <c r="E349" t="s">
        <v>8</v>
      </c>
      <c r="F349">
        <v>0.30499999999999999</v>
      </c>
      <c r="G349">
        <v>128</v>
      </c>
      <c r="H349">
        <v>563</v>
      </c>
      <c r="I349">
        <v>485</v>
      </c>
      <c r="J349">
        <v>75</v>
      </c>
      <c r="K349">
        <v>148</v>
      </c>
      <c r="L349">
        <f>표1[[#This Row],[H]]-표1[[#This Row],[2B]]-표1[[#This Row],[3B]]-표1[[#This Row],[HR]]</f>
        <v>119</v>
      </c>
      <c r="M349">
        <v>25</v>
      </c>
      <c r="N349">
        <v>2</v>
      </c>
      <c r="O349">
        <v>2</v>
      </c>
      <c r="P349">
        <v>183</v>
      </c>
      <c r="Q349">
        <v>48</v>
      </c>
      <c r="R349">
        <v>22</v>
      </c>
      <c r="S349">
        <v>1</v>
      </c>
      <c r="T349">
        <v>47</v>
      </c>
      <c r="U349">
        <v>5</v>
      </c>
      <c r="V349">
        <v>33</v>
      </c>
      <c r="W349">
        <v>13</v>
      </c>
      <c r="X349">
        <v>8</v>
      </c>
      <c r="Y349">
        <v>51</v>
      </c>
      <c r="Z349">
        <v>9</v>
      </c>
      <c r="AA349">
        <v>0.377</v>
      </c>
      <c r="AB349">
        <v>0.375</v>
      </c>
      <c r="AC349">
        <v>0.752</v>
      </c>
      <c r="AD349">
        <v>45</v>
      </c>
      <c r="AE349">
        <v>0.35899999999999999</v>
      </c>
      <c r="AF349">
        <v>0</v>
      </c>
      <c r="AG349">
        <f>(표1[[#This Row],[TB]]-표1[[#This Row],[H]])/표1[[#This Row],[AB]]</f>
        <v>7.2164948453608241E-2</v>
      </c>
      <c r="AH349">
        <f>(표1[[#This Row],[TB]]-표1[[#This Row],[H]]+표1[[#This Row],[BB]]+표1[[#This Row],[SB]]-표1[[#This Row],[CS]])/표1[[#This Row],[AB]]</f>
        <v>0.21030927835051547</v>
      </c>
      <c r="AI349">
        <f>(표1[[#This Row],[TB]]+표1[[#This Row],[BB]]+표1[[#This Row],[HBP]]+표1[[#This Row],[SB]]-표1[[#This Row],[CS]])/(표1[[#This Row],[AB]]-표1[[#This Row],[H]]+표1[[#This Row],[CS]]+표1[[#This Row],[GDP]])</f>
        <v>0.71866295264623958</v>
      </c>
      <c r="AJ34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72.374280639431618</v>
      </c>
      <c r="AK349">
        <f>표1[[#This Row],[RC]]/((표1[[#This Row],[AB]]-표1[[#This Row],[H]]+표1[[#This Row],[SAC]]+표1[[#This Row],[SF]]+표1[[#This Row],[CS]]+표1[[#This Row],[GDP]])/27)</f>
        <v>5.1154596263472607</v>
      </c>
      <c r="AL34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0.33343470149253734</v>
      </c>
      <c r="AM34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69.671999999999997</v>
      </c>
    </row>
    <row r="350" spans="1:39" x14ac:dyDescent="0.3">
      <c r="A350" t="str">
        <f>_xlfn.CONCAT(표1[[#This Row],[Year]],표1[[#This Row],[Player]])</f>
        <v>2010강민호</v>
      </c>
      <c r="B350">
        <v>2010</v>
      </c>
      <c r="C350">
        <v>14</v>
      </c>
      <c r="D350" t="s">
        <v>83</v>
      </c>
      <c r="E350" t="s">
        <v>17</v>
      </c>
      <c r="F350">
        <v>0.30499999999999999</v>
      </c>
      <c r="G350">
        <v>117</v>
      </c>
      <c r="H350">
        <v>465</v>
      </c>
      <c r="I350">
        <v>410</v>
      </c>
      <c r="J350">
        <v>66</v>
      </c>
      <c r="K350">
        <v>125</v>
      </c>
      <c r="L350">
        <f>표1[[#This Row],[H]]-표1[[#This Row],[2B]]-표1[[#This Row],[3B]]-표1[[#This Row],[HR]]</f>
        <v>82</v>
      </c>
      <c r="M350">
        <v>19</v>
      </c>
      <c r="N350">
        <v>1</v>
      </c>
      <c r="O350">
        <v>23</v>
      </c>
      <c r="P350">
        <v>215</v>
      </c>
      <c r="Q350">
        <v>72</v>
      </c>
      <c r="R350">
        <v>0</v>
      </c>
      <c r="S350">
        <v>5</v>
      </c>
      <c r="T350">
        <v>42</v>
      </c>
      <c r="U350">
        <v>1</v>
      </c>
      <c r="V350">
        <v>2</v>
      </c>
      <c r="W350">
        <v>7</v>
      </c>
      <c r="X350">
        <v>8</v>
      </c>
      <c r="Y350">
        <v>65</v>
      </c>
      <c r="Z350">
        <v>16</v>
      </c>
      <c r="AA350">
        <v>0.52400000000000002</v>
      </c>
      <c r="AB350">
        <v>0.376</v>
      </c>
      <c r="AC350">
        <v>0.9</v>
      </c>
      <c r="AD350">
        <v>33</v>
      </c>
      <c r="AE350">
        <v>0.36599999999999999</v>
      </c>
      <c r="AF350">
        <v>0</v>
      </c>
      <c r="AG350">
        <f>(표1[[#This Row],[TB]]-표1[[#This Row],[H]])/표1[[#This Row],[AB]]</f>
        <v>0.21951219512195122</v>
      </c>
      <c r="AH350">
        <f>(표1[[#This Row],[TB]]-표1[[#This Row],[H]]+표1[[#This Row],[BB]]+표1[[#This Row],[SB]]-표1[[#This Row],[CS]])/표1[[#This Row],[AB]]</f>
        <v>0.30975609756097561</v>
      </c>
      <c r="AI350">
        <f>(표1[[#This Row],[TB]]+표1[[#This Row],[BB]]+표1[[#This Row],[HBP]]+표1[[#This Row],[SB]]-표1[[#This Row],[CS]])/(표1[[#This Row],[AB]]-표1[[#This Row],[H]]+표1[[#This Row],[CS]]+표1[[#This Row],[GDP]])</f>
        <v>0.8441558441558441</v>
      </c>
      <c r="AJ35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75.63389247311828</v>
      </c>
      <c r="AK350">
        <f>표1[[#This Row],[RC]]/((표1[[#This Row],[AB]]-표1[[#This Row],[H]]+표1[[#This Row],[SAC]]+표1[[#This Row],[SF]]+표1[[#This Row],[CS]]+표1[[#This Row],[GDP]])/27)</f>
        <v>6.5243293826651545</v>
      </c>
      <c r="AL35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0.38664870689655173</v>
      </c>
      <c r="AM35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73.63</v>
      </c>
    </row>
    <row r="351" spans="1:39" x14ac:dyDescent="0.3">
      <c r="A351" t="str">
        <f>_xlfn.CONCAT(표1[[#This Row],[Year]],표1[[#This Row],[Player]])</f>
        <v>2010박석민</v>
      </c>
      <c r="B351">
        <v>2010</v>
      </c>
      <c r="C351">
        <v>15</v>
      </c>
      <c r="D351" t="s">
        <v>104</v>
      </c>
      <c r="E351" t="s">
        <v>6</v>
      </c>
      <c r="F351">
        <v>0.30299999999999999</v>
      </c>
      <c r="G351">
        <v>112</v>
      </c>
      <c r="H351">
        <v>457</v>
      </c>
      <c r="I351">
        <v>356</v>
      </c>
      <c r="J351">
        <v>58</v>
      </c>
      <c r="K351">
        <v>108</v>
      </c>
      <c r="L351">
        <f>표1[[#This Row],[H]]-표1[[#This Row],[2B]]-표1[[#This Row],[3B]]-표1[[#This Row],[HR]]</f>
        <v>75</v>
      </c>
      <c r="M351">
        <v>18</v>
      </c>
      <c r="N351">
        <v>0</v>
      </c>
      <c r="O351">
        <v>15</v>
      </c>
      <c r="P351">
        <v>171</v>
      </c>
      <c r="Q351">
        <v>64</v>
      </c>
      <c r="R351">
        <v>5</v>
      </c>
      <c r="S351">
        <v>5</v>
      </c>
      <c r="T351">
        <v>76</v>
      </c>
      <c r="U351">
        <v>4</v>
      </c>
      <c r="V351">
        <v>3</v>
      </c>
      <c r="W351">
        <v>2</v>
      </c>
      <c r="X351">
        <v>15</v>
      </c>
      <c r="Y351">
        <v>84</v>
      </c>
      <c r="Z351">
        <v>14</v>
      </c>
      <c r="AA351">
        <v>0.48</v>
      </c>
      <c r="AB351">
        <v>0.44</v>
      </c>
      <c r="AC351">
        <v>0.92</v>
      </c>
      <c r="AD351">
        <v>26</v>
      </c>
      <c r="AE351">
        <v>0.33</v>
      </c>
      <c r="AF351">
        <v>0</v>
      </c>
      <c r="AG351">
        <f>(표1[[#This Row],[TB]]-표1[[#This Row],[H]])/표1[[#This Row],[AB]]</f>
        <v>0.17696629213483145</v>
      </c>
      <c r="AH351">
        <f>(표1[[#This Row],[TB]]-표1[[#This Row],[H]]+표1[[#This Row],[BB]]+표1[[#This Row],[SB]]-표1[[#This Row],[CS]])/표1[[#This Row],[AB]]</f>
        <v>0.39325842696629215</v>
      </c>
      <c r="AI351">
        <f>(표1[[#This Row],[TB]]+표1[[#This Row],[BB]]+표1[[#This Row],[HBP]]+표1[[#This Row],[SB]]-표1[[#This Row],[CS]])/(표1[[#This Row],[AB]]-표1[[#This Row],[H]]+표1[[#This Row],[CS]]+표1[[#This Row],[GDP]])</f>
        <v>0.99621212121212122</v>
      </c>
      <c r="AJ35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80.239693654266958</v>
      </c>
      <c r="AK351">
        <f>표1[[#This Row],[RC]]/((표1[[#This Row],[AB]]-표1[[#This Row],[H]]+표1[[#This Row],[SAC]]+표1[[#This Row],[SF]]+표1[[#This Row],[CS]]+표1[[#This Row],[GDP]])/27)</f>
        <v>7.9068311265153568</v>
      </c>
      <c r="AL35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0.40262946428571428</v>
      </c>
      <c r="AM35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76.417999999999992</v>
      </c>
    </row>
    <row r="352" spans="1:39" x14ac:dyDescent="0.3">
      <c r="A352" t="str">
        <f>_xlfn.CONCAT(표1[[#This Row],[Year]],표1[[#This Row],[Player]])</f>
        <v>2010박한이</v>
      </c>
      <c r="B352">
        <v>2010</v>
      </c>
      <c r="C352">
        <v>16</v>
      </c>
      <c r="D352" t="s">
        <v>9</v>
      </c>
      <c r="E352" t="s">
        <v>6</v>
      </c>
      <c r="F352">
        <v>0.30099999999999999</v>
      </c>
      <c r="G352">
        <v>128</v>
      </c>
      <c r="H352">
        <v>470</v>
      </c>
      <c r="I352">
        <v>379</v>
      </c>
      <c r="J352">
        <v>64</v>
      </c>
      <c r="K352">
        <v>114</v>
      </c>
      <c r="L352">
        <f>표1[[#This Row],[H]]-표1[[#This Row],[2B]]-표1[[#This Row],[3B]]-표1[[#This Row],[HR]]</f>
        <v>80</v>
      </c>
      <c r="M352">
        <v>21</v>
      </c>
      <c r="N352">
        <v>2</v>
      </c>
      <c r="O352">
        <v>11</v>
      </c>
      <c r="P352">
        <v>172</v>
      </c>
      <c r="Q352">
        <v>63</v>
      </c>
      <c r="R352">
        <v>10</v>
      </c>
      <c r="S352">
        <v>5</v>
      </c>
      <c r="T352">
        <v>73</v>
      </c>
      <c r="U352">
        <v>2</v>
      </c>
      <c r="V352">
        <v>5</v>
      </c>
      <c r="W352">
        <v>4</v>
      </c>
      <c r="X352">
        <v>3</v>
      </c>
      <c r="Y352">
        <v>54</v>
      </c>
      <c r="Z352">
        <v>10</v>
      </c>
      <c r="AA352">
        <v>0.45400000000000001</v>
      </c>
      <c r="AB352">
        <v>0.41299999999999998</v>
      </c>
      <c r="AC352">
        <v>0.86699999999999999</v>
      </c>
      <c r="AD352">
        <v>30</v>
      </c>
      <c r="AE352">
        <v>0.313</v>
      </c>
      <c r="AF352">
        <v>0.4</v>
      </c>
      <c r="AG352">
        <f>(표1[[#This Row],[TB]]-표1[[#This Row],[H]])/표1[[#This Row],[AB]]</f>
        <v>0.15303430079155672</v>
      </c>
      <c r="AH352">
        <f>(표1[[#This Row],[TB]]-표1[[#This Row],[H]]+표1[[#This Row],[BB]]+표1[[#This Row],[SB]]-표1[[#This Row],[CS]])/표1[[#This Row],[AB]]</f>
        <v>0.34828496042216361</v>
      </c>
      <c r="AI352">
        <f>(표1[[#This Row],[TB]]+표1[[#This Row],[BB]]+표1[[#This Row],[HBP]]+표1[[#This Row],[SB]]-표1[[#This Row],[CS]])/(표1[[#This Row],[AB]]-표1[[#This Row],[H]]+표1[[#This Row],[CS]]+표1[[#This Row],[GDP]])</f>
        <v>0.89247311827956988</v>
      </c>
      <c r="AJ35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75.507744680851062</v>
      </c>
      <c r="AK352">
        <f>표1[[#This Row],[RC]]/((표1[[#This Row],[AB]]-표1[[#This Row],[H]]+표1[[#This Row],[SAC]]+표1[[#This Row],[SF]]+표1[[#This Row],[CS]]+표1[[#This Row],[GDP]])/27)</f>
        <v>6.9343847155883624</v>
      </c>
      <c r="AL35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0.38027947598253276</v>
      </c>
      <c r="AM35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72.587999999999994</v>
      </c>
    </row>
    <row r="353" spans="1:39" x14ac:dyDescent="0.3">
      <c r="A353" t="str">
        <f>_xlfn.CONCAT(표1[[#This Row],[Year]],표1[[#This Row],[Player]])</f>
        <v>2010강정호</v>
      </c>
      <c r="B353">
        <v>2010</v>
      </c>
      <c r="C353">
        <v>17</v>
      </c>
      <c r="D353" t="s">
        <v>106</v>
      </c>
      <c r="E353" t="s">
        <v>125</v>
      </c>
      <c r="F353">
        <v>0.30099999999999999</v>
      </c>
      <c r="G353">
        <v>133</v>
      </c>
      <c r="H353">
        <v>522</v>
      </c>
      <c r="I353">
        <v>449</v>
      </c>
      <c r="J353">
        <v>60</v>
      </c>
      <c r="K353">
        <v>135</v>
      </c>
      <c r="L353">
        <f>표1[[#This Row],[H]]-표1[[#This Row],[2B]]-표1[[#This Row],[3B]]-표1[[#This Row],[HR]]</f>
        <v>91</v>
      </c>
      <c r="M353">
        <v>30</v>
      </c>
      <c r="N353">
        <v>2</v>
      </c>
      <c r="O353">
        <v>12</v>
      </c>
      <c r="P353">
        <v>205</v>
      </c>
      <c r="Q353">
        <v>58</v>
      </c>
      <c r="R353">
        <v>3</v>
      </c>
      <c r="S353">
        <v>2</v>
      </c>
      <c r="T353">
        <v>61</v>
      </c>
      <c r="U353">
        <v>6</v>
      </c>
      <c r="V353">
        <v>2</v>
      </c>
      <c r="W353">
        <v>2</v>
      </c>
      <c r="X353">
        <v>7</v>
      </c>
      <c r="Y353">
        <v>87</v>
      </c>
      <c r="Z353">
        <v>14</v>
      </c>
      <c r="AA353">
        <v>0.45700000000000002</v>
      </c>
      <c r="AB353">
        <v>0.39100000000000001</v>
      </c>
      <c r="AC353">
        <v>0.84799999999999998</v>
      </c>
      <c r="AD353">
        <v>33</v>
      </c>
      <c r="AE353">
        <v>0.27200000000000002</v>
      </c>
      <c r="AF353">
        <v>0.5</v>
      </c>
      <c r="AG353">
        <f>(표1[[#This Row],[TB]]-표1[[#This Row],[H]])/표1[[#This Row],[AB]]</f>
        <v>0.15590200445434299</v>
      </c>
      <c r="AH353">
        <f>(표1[[#This Row],[TB]]-표1[[#This Row],[H]]+표1[[#This Row],[BB]]+표1[[#This Row],[SB]]-표1[[#This Row],[CS]])/표1[[#This Row],[AB]]</f>
        <v>0.29175946547884185</v>
      </c>
      <c r="AI353">
        <f>(표1[[#This Row],[TB]]+표1[[#This Row],[BB]]+표1[[#This Row],[HBP]]+표1[[#This Row],[SB]]-표1[[#This Row],[CS]])/(표1[[#This Row],[AB]]-표1[[#This Row],[H]]+표1[[#This Row],[CS]]+표1[[#This Row],[GDP]])</f>
        <v>0.82727272727272727</v>
      </c>
      <c r="AJ35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80.517471264367813</v>
      </c>
      <c r="AK353">
        <f>표1[[#This Row],[RC]]/((표1[[#This Row],[AB]]-표1[[#This Row],[H]]+표1[[#This Row],[SAC]]+표1[[#This Row],[SF]]+표1[[#This Row],[CS]]+표1[[#This Row],[GDP]])/27)</f>
        <v>6.4894678332475557</v>
      </c>
      <c r="AL35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0.3686062378167641</v>
      </c>
      <c r="AM35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75.483999999999995</v>
      </c>
    </row>
    <row r="354" spans="1:39" x14ac:dyDescent="0.3">
      <c r="A354" t="str">
        <f>_xlfn.CONCAT(표1[[#This Row],[Year]],표1[[#This Row],[Player]])</f>
        <v>2010정원석</v>
      </c>
      <c r="B354">
        <v>2010</v>
      </c>
      <c r="C354">
        <v>18</v>
      </c>
      <c r="D354" t="s">
        <v>126</v>
      </c>
      <c r="E354" t="s">
        <v>11</v>
      </c>
      <c r="F354">
        <v>0.3</v>
      </c>
      <c r="G354">
        <v>118</v>
      </c>
      <c r="H354">
        <v>428</v>
      </c>
      <c r="I354">
        <v>353</v>
      </c>
      <c r="J354">
        <v>39</v>
      </c>
      <c r="K354">
        <v>106</v>
      </c>
      <c r="L354">
        <f>표1[[#This Row],[H]]-표1[[#This Row],[2B]]-표1[[#This Row],[3B]]-표1[[#This Row],[HR]]</f>
        <v>76</v>
      </c>
      <c r="M354">
        <v>20</v>
      </c>
      <c r="N354">
        <v>3</v>
      </c>
      <c r="O354">
        <v>7</v>
      </c>
      <c r="P354">
        <v>153</v>
      </c>
      <c r="Q354">
        <v>42</v>
      </c>
      <c r="R354">
        <v>11</v>
      </c>
      <c r="S354">
        <v>8</v>
      </c>
      <c r="T354">
        <v>40</v>
      </c>
      <c r="U354">
        <v>2</v>
      </c>
      <c r="V354">
        <v>14</v>
      </c>
      <c r="W354">
        <v>9</v>
      </c>
      <c r="X354">
        <v>16</v>
      </c>
      <c r="Y354">
        <v>73</v>
      </c>
      <c r="Z354">
        <v>12</v>
      </c>
      <c r="AA354">
        <v>0.433</v>
      </c>
      <c r="AB354">
        <v>0.38800000000000001</v>
      </c>
      <c r="AC354">
        <v>0.82099999999999995</v>
      </c>
      <c r="AD354">
        <v>25</v>
      </c>
      <c r="AE354">
        <v>0.27800000000000002</v>
      </c>
      <c r="AF354">
        <v>1</v>
      </c>
      <c r="AG354">
        <f>(표1[[#This Row],[TB]]-표1[[#This Row],[H]])/표1[[#This Row],[AB]]</f>
        <v>0.13314447592067988</v>
      </c>
      <c r="AH354">
        <f>(표1[[#This Row],[TB]]-표1[[#This Row],[H]]+표1[[#This Row],[BB]]+표1[[#This Row],[SB]]-표1[[#This Row],[CS]])/표1[[#This Row],[AB]]</f>
        <v>0.26062322946175637</v>
      </c>
      <c r="AI354">
        <f>(표1[[#This Row],[TB]]+표1[[#This Row],[BB]]+표1[[#This Row],[HBP]]+표1[[#This Row],[SB]]-표1[[#This Row],[CS]])/(표1[[#This Row],[AB]]-표1[[#This Row],[H]]+표1[[#This Row],[CS]]+표1[[#This Row],[GDP]])</f>
        <v>0.79850746268656714</v>
      </c>
      <c r="AJ35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60.682710280373826</v>
      </c>
      <c r="AK354">
        <f>표1[[#This Row],[RC]]/((표1[[#This Row],[AB]]-표1[[#This Row],[H]]+표1[[#This Row],[SAC]]+표1[[#This Row],[SF]]+표1[[#This Row],[CS]]+표1[[#This Row],[GDP]])/27)</f>
        <v>5.7088264026832523</v>
      </c>
      <c r="AL35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0.35980481927710839</v>
      </c>
      <c r="AM35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60.246000000000002</v>
      </c>
    </row>
    <row r="355" spans="1:39" x14ac:dyDescent="0.3">
      <c r="A355" t="str">
        <f>_xlfn.CONCAT(표1[[#This Row],[Year]],표1[[#This Row],[Player]])</f>
        <v>2010최정</v>
      </c>
      <c r="B355">
        <v>2010</v>
      </c>
      <c r="C355">
        <v>19</v>
      </c>
      <c r="D355" t="s">
        <v>92</v>
      </c>
      <c r="E355" t="s">
        <v>8</v>
      </c>
      <c r="F355">
        <v>0.3</v>
      </c>
      <c r="G355">
        <v>123</v>
      </c>
      <c r="H355">
        <v>493</v>
      </c>
      <c r="I355">
        <v>400</v>
      </c>
      <c r="J355">
        <v>84</v>
      </c>
      <c r="K355">
        <v>120</v>
      </c>
      <c r="L355">
        <f>표1[[#This Row],[H]]-표1[[#This Row],[2B]]-표1[[#This Row],[3B]]-표1[[#This Row],[HR]]</f>
        <v>68</v>
      </c>
      <c r="M355">
        <v>31</v>
      </c>
      <c r="N355">
        <v>1</v>
      </c>
      <c r="O355">
        <v>20</v>
      </c>
      <c r="P355">
        <v>213</v>
      </c>
      <c r="Q355">
        <v>80</v>
      </c>
      <c r="R355">
        <v>16</v>
      </c>
      <c r="S355">
        <v>8</v>
      </c>
      <c r="T355">
        <v>49</v>
      </c>
      <c r="U355">
        <v>0</v>
      </c>
      <c r="V355">
        <v>12</v>
      </c>
      <c r="W355">
        <v>4</v>
      </c>
      <c r="X355">
        <v>20</v>
      </c>
      <c r="Y355">
        <v>72</v>
      </c>
      <c r="Z355">
        <v>7</v>
      </c>
      <c r="AA355">
        <v>0.53300000000000003</v>
      </c>
      <c r="AB355">
        <v>0.39600000000000002</v>
      </c>
      <c r="AC355">
        <v>0.92900000000000005</v>
      </c>
      <c r="AD355">
        <v>34</v>
      </c>
      <c r="AE355">
        <v>0.308</v>
      </c>
      <c r="AF355">
        <v>0</v>
      </c>
      <c r="AG355">
        <f>(표1[[#This Row],[TB]]-표1[[#This Row],[H]])/표1[[#This Row],[AB]]</f>
        <v>0.23250000000000001</v>
      </c>
      <c r="AH355">
        <f>(표1[[#This Row],[TB]]-표1[[#This Row],[H]]+표1[[#This Row],[BB]]+표1[[#This Row],[SB]]-표1[[#This Row],[CS]])/표1[[#This Row],[AB]]</f>
        <v>0.375</v>
      </c>
      <c r="AI355">
        <f>(표1[[#This Row],[TB]]+표1[[#This Row],[BB]]+표1[[#This Row],[HBP]]+표1[[#This Row],[SB]]-표1[[#This Row],[CS]])/(표1[[#This Row],[AB]]-표1[[#This Row],[H]]+표1[[#This Row],[CS]]+표1[[#This Row],[GDP]])</f>
        <v>0.99656357388316152</v>
      </c>
      <c r="AJ35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90.140933062880322</v>
      </c>
      <c r="AK355">
        <f>표1[[#This Row],[RC]]/((표1[[#This Row],[AB]]-표1[[#This Row],[H]]+표1[[#This Row],[SAC]]+표1[[#This Row],[SF]]+표1[[#This Row],[CS]]+표1[[#This Row],[GDP]])/27)</f>
        <v>7.7263656911040277</v>
      </c>
      <c r="AL35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0.39859748427672947</v>
      </c>
      <c r="AM35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85.733999999999995</v>
      </c>
    </row>
    <row r="356" spans="1:39" x14ac:dyDescent="0.3">
      <c r="A356" t="str">
        <f>_xlfn.CONCAT(표1[[#This Row],[Year]],표1[[#This Row],[Player]])</f>
        <v>2010박용택</v>
      </c>
      <c r="B356">
        <v>2010</v>
      </c>
      <c r="C356">
        <v>19</v>
      </c>
      <c r="D356" t="s">
        <v>42</v>
      </c>
      <c r="E356" t="s">
        <v>36</v>
      </c>
      <c r="F356">
        <v>0.3</v>
      </c>
      <c r="G356">
        <v>107</v>
      </c>
      <c r="H356">
        <v>420</v>
      </c>
      <c r="I356">
        <v>370</v>
      </c>
      <c r="J356">
        <v>62</v>
      </c>
      <c r="K356">
        <v>111</v>
      </c>
      <c r="L356">
        <f>표1[[#This Row],[H]]-표1[[#This Row],[2B]]-표1[[#This Row],[3B]]-표1[[#This Row],[HR]]</f>
        <v>81</v>
      </c>
      <c r="M356">
        <v>21</v>
      </c>
      <c r="N356">
        <v>0</v>
      </c>
      <c r="O356">
        <v>9</v>
      </c>
      <c r="P356">
        <v>159</v>
      </c>
      <c r="Q356">
        <v>45</v>
      </c>
      <c r="R356">
        <v>6</v>
      </c>
      <c r="S356">
        <v>1</v>
      </c>
      <c r="T356">
        <v>38</v>
      </c>
      <c r="U356">
        <v>3</v>
      </c>
      <c r="V356">
        <v>19</v>
      </c>
      <c r="W356">
        <v>4</v>
      </c>
      <c r="X356">
        <v>5</v>
      </c>
      <c r="Y356">
        <v>64</v>
      </c>
      <c r="Z356">
        <v>6</v>
      </c>
      <c r="AA356">
        <v>0.43</v>
      </c>
      <c r="AB356">
        <v>0.372</v>
      </c>
      <c r="AC356">
        <v>0.80200000000000005</v>
      </c>
      <c r="AD356">
        <v>34</v>
      </c>
      <c r="AE356">
        <v>0.29399999999999998</v>
      </c>
      <c r="AF356">
        <v>0.308</v>
      </c>
      <c r="AG356">
        <f>(표1[[#This Row],[TB]]-표1[[#This Row],[H]])/표1[[#This Row],[AB]]</f>
        <v>0.12972972972972974</v>
      </c>
      <c r="AH356">
        <f>(표1[[#This Row],[TB]]-표1[[#This Row],[H]]+표1[[#This Row],[BB]]+표1[[#This Row],[SB]]-표1[[#This Row],[CS]])/표1[[#This Row],[AB]]</f>
        <v>0.27297297297297296</v>
      </c>
      <c r="AI356">
        <f>(표1[[#This Row],[TB]]+표1[[#This Row],[BB]]+표1[[#This Row],[HBP]]+표1[[#This Row],[SB]]-표1[[#This Row],[CS]])/(표1[[#This Row],[AB]]-표1[[#This Row],[H]]+표1[[#This Row],[CS]]+표1[[#This Row],[GDP]])</f>
        <v>0.80669144981412644</v>
      </c>
      <c r="AJ35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62.715428571428582</v>
      </c>
      <c r="AK356">
        <f>표1[[#This Row],[RC]]/((표1[[#This Row],[AB]]-표1[[#This Row],[H]]+표1[[#This Row],[SAC]]+표1[[#This Row],[SF]]+표1[[#This Row],[CS]]+표1[[#This Row],[GDP]])/27)</f>
        <v>6.1352049689441008</v>
      </c>
      <c r="AL35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0.35113868613138682</v>
      </c>
      <c r="AM35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59.638000000000012</v>
      </c>
    </row>
    <row r="357" spans="1:39" x14ac:dyDescent="0.3">
      <c r="A357" t="str">
        <f>_xlfn.CONCAT(표1[[#This Row],[Year]],표1[[#This Row],[Player]])</f>
        <v>2010김동주</v>
      </c>
      <c r="B357">
        <v>2010</v>
      </c>
      <c r="C357">
        <v>21</v>
      </c>
      <c r="D357" t="s">
        <v>0</v>
      </c>
      <c r="E357" t="s">
        <v>1</v>
      </c>
      <c r="F357">
        <v>0.29499999999999998</v>
      </c>
      <c r="G357">
        <v>110</v>
      </c>
      <c r="H357">
        <v>470</v>
      </c>
      <c r="I357">
        <v>387</v>
      </c>
      <c r="J357">
        <v>60</v>
      </c>
      <c r="K357">
        <v>114</v>
      </c>
      <c r="L357">
        <f>표1[[#This Row],[H]]-표1[[#This Row],[2B]]-표1[[#This Row],[3B]]-표1[[#This Row],[HR]]</f>
        <v>72</v>
      </c>
      <c r="M357">
        <v>22</v>
      </c>
      <c r="N357">
        <v>0</v>
      </c>
      <c r="O357">
        <v>20</v>
      </c>
      <c r="P357">
        <v>196</v>
      </c>
      <c r="Q357">
        <v>67</v>
      </c>
      <c r="R357">
        <v>1</v>
      </c>
      <c r="S357">
        <v>5</v>
      </c>
      <c r="T357">
        <v>67</v>
      </c>
      <c r="U357">
        <v>4</v>
      </c>
      <c r="V357">
        <v>0</v>
      </c>
      <c r="W357">
        <v>1</v>
      </c>
      <c r="X357">
        <v>10</v>
      </c>
      <c r="Y357">
        <v>45</v>
      </c>
      <c r="Z357">
        <v>15</v>
      </c>
      <c r="AA357">
        <v>0.50600000000000001</v>
      </c>
      <c r="AB357">
        <v>0.40699999999999997</v>
      </c>
      <c r="AC357">
        <v>0.91300000000000003</v>
      </c>
      <c r="AD357">
        <v>31</v>
      </c>
      <c r="AE357">
        <v>0.219</v>
      </c>
      <c r="AF357">
        <v>0</v>
      </c>
      <c r="AG357">
        <f>(표1[[#This Row],[TB]]-표1[[#This Row],[H]])/표1[[#This Row],[AB]]</f>
        <v>0.21188630490956073</v>
      </c>
      <c r="AH357">
        <f>(표1[[#This Row],[TB]]-표1[[#This Row],[H]]+표1[[#This Row],[BB]]+표1[[#This Row],[SB]]-표1[[#This Row],[CS]])/표1[[#This Row],[AB]]</f>
        <v>0.38242894056847543</v>
      </c>
      <c r="AI357">
        <f>(표1[[#This Row],[TB]]+표1[[#This Row],[BB]]+표1[[#This Row],[HBP]]+표1[[#This Row],[SB]]-표1[[#This Row],[CS]])/(표1[[#This Row],[AB]]-표1[[#This Row],[H]]+표1[[#This Row],[CS]]+표1[[#This Row],[GDP]])</f>
        <v>0.94117647058823528</v>
      </c>
      <c r="AJ35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81.207446808510639</v>
      </c>
      <c r="AK357">
        <f>표1[[#This Row],[RC]]/((표1[[#This Row],[AB]]-표1[[#This Row],[H]]+표1[[#This Row],[SAC]]+표1[[#This Row],[SF]]+표1[[#This Row],[CS]]+표1[[#This Row],[GDP]])/27)</f>
        <v>7.4325459790840247</v>
      </c>
      <c r="AL35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0.39401075268817204</v>
      </c>
      <c r="AM35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77.550000000000026</v>
      </c>
    </row>
    <row r="358" spans="1:39" x14ac:dyDescent="0.3">
      <c r="A358" t="str">
        <f>_xlfn.CONCAT(표1[[#This Row],[Year]],표1[[#This Row],[Player]])</f>
        <v>2010유한준</v>
      </c>
      <c r="B358">
        <v>2010</v>
      </c>
      <c r="C358">
        <v>22</v>
      </c>
      <c r="D358" t="s">
        <v>127</v>
      </c>
      <c r="E358" t="s">
        <v>125</v>
      </c>
      <c r="F358">
        <v>0.29099999999999998</v>
      </c>
      <c r="G358">
        <v>131</v>
      </c>
      <c r="H358">
        <v>543</v>
      </c>
      <c r="I358">
        <v>481</v>
      </c>
      <c r="J358">
        <v>52</v>
      </c>
      <c r="K358">
        <v>140</v>
      </c>
      <c r="L358">
        <f>표1[[#This Row],[H]]-표1[[#This Row],[2B]]-표1[[#This Row],[3B]]-표1[[#This Row],[HR]]</f>
        <v>104</v>
      </c>
      <c r="M358">
        <v>27</v>
      </c>
      <c r="N358">
        <v>0</v>
      </c>
      <c r="O358">
        <v>9</v>
      </c>
      <c r="P358">
        <v>194</v>
      </c>
      <c r="Q358">
        <v>79</v>
      </c>
      <c r="R358">
        <v>8</v>
      </c>
      <c r="S358">
        <v>4</v>
      </c>
      <c r="T358">
        <v>49</v>
      </c>
      <c r="U358">
        <v>0</v>
      </c>
      <c r="V358">
        <v>2</v>
      </c>
      <c r="W358">
        <v>2</v>
      </c>
      <c r="X358">
        <v>1</v>
      </c>
      <c r="Y358">
        <v>81</v>
      </c>
      <c r="Z358">
        <v>17</v>
      </c>
      <c r="AA358">
        <v>0.40300000000000002</v>
      </c>
      <c r="AB358">
        <v>0.35499999999999998</v>
      </c>
      <c r="AC358">
        <v>0.75800000000000001</v>
      </c>
      <c r="AD358">
        <v>33</v>
      </c>
      <c r="AE358">
        <v>0.38400000000000001</v>
      </c>
      <c r="AF358">
        <v>0.5</v>
      </c>
      <c r="AG358">
        <f>(표1[[#This Row],[TB]]-표1[[#This Row],[H]])/표1[[#This Row],[AB]]</f>
        <v>0.11226611226611227</v>
      </c>
      <c r="AH358">
        <f>(표1[[#This Row],[TB]]-표1[[#This Row],[H]]+표1[[#This Row],[BB]]+표1[[#This Row],[SB]]-표1[[#This Row],[CS]])/표1[[#This Row],[AB]]</f>
        <v>0.21413721413721415</v>
      </c>
      <c r="AI358">
        <f>(표1[[#This Row],[TB]]+표1[[#This Row],[BB]]+표1[[#This Row],[HBP]]+표1[[#This Row],[SB]]-표1[[#This Row],[CS]])/(표1[[#This Row],[AB]]-표1[[#This Row],[H]]+표1[[#This Row],[CS]]+표1[[#This Row],[GDP]])</f>
        <v>0.67777777777777781</v>
      </c>
      <c r="AJ35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67.480441988950275</v>
      </c>
      <c r="AK358">
        <f>표1[[#This Row],[RC]]/((표1[[#This Row],[AB]]-표1[[#This Row],[H]]+표1[[#This Row],[SAC]]+표1[[#This Row],[SF]]+표1[[#This Row],[CS]]+표1[[#This Row],[GDP]])/27)</f>
        <v>4.8977740153270357</v>
      </c>
      <c r="AL35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0.33453831775700932</v>
      </c>
      <c r="AM35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65.291999999999973</v>
      </c>
    </row>
    <row r="359" spans="1:39" x14ac:dyDescent="0.3">
      <c r="A359" t="str">
        <f>_xlfn.CONCAT(표1[[#This Row],[Year]],표1[[#This Row],[Player]])</f>
        <v>2010안치홍</v>
      </c>
      <c r="B359">
        <v>2010</v>
      </c>
      <c r="C359">
        <v>23</v>
      </c>
      <c r="D359" t="s">
        <v>122</v>
      </c>
      <c r="E359" t="s">
        <v>13</v>
      </c>
      <c r="F359">
        <v>0.29099999999999998</v>
      </c>
      <c r="G359">
        <v>133</v>
      </c>
      <c r="H359">
        <v>537</v>
      </c>
      <c r="I359">
        <v>461</v>
      </c>
      <c r="J359">
        <v>79</v>
      </c>
      <c r="K359">
        <v>134</v>
      </c>
      <c r="L359">
        <f>표1[[#This Row],[H]]-표1[[#This Row],[2B]]-표1[[#This Row],[3B]]-표1[[#This Row],[HR]]</f>
        <v>102</v>
      </c>
      <c r="M359">
        <v>21</v>
      </c>
      <c r="N359">
        <v>3</v>
      </c>
      <c r="O359">
        <v>8</v>
      </c>
      <c r="P359">
        <v>185</v>
      </c>
      <c r="Q359">
        <v>50</v>
      </c>
      <c r="R359">
        <v>16</v>
      </c>
      <c r="S359">
        <v>4</v>
      </c>
      <c r="T359">
        <v>49</v>
      </c>
      <c r="U359">
        <v>1</v>
      </c>
      <c r="V359">
        <v>18</v>
      </c>
      <c r="W359">
        <v>5</v>
      </c>
      <c r="X359">
        <v>7</v>
      </c>
      <c r="Y359">
        <v>96</v>
      </c>
      <c r="Z359">
        <v>12</v>
      </c>
      <c r="AA359">
        <v>0.40100000000000002</v>
      </c>
      <c r="AB359">
        <v>0.36499999999999999</v>
      </c>
      <c r="AC359">
        <v>0.76600000000000001</v>
      </c>
      <c r="AD359">
        <v>35</v>
      </c>
      <c r="AE359">
        <v>0.24399999999999999</v>
      </c>
      <c r="AF359">
        <v>0.5</v>
      </c>
      <c r="AG359">
        <f>(표1[[#This Row],[TB]]-표1[[#This Row],[H]])/표1[[#This Row],[AB]]</f>
        <v>0.11062906724511931</v>
      </c>
      <c r="AH359">
        <f>(표1[[#This Row],[TB]]-표1[[#This Row],[H]]+표1[[#This Row],[BB]]+표1[[#This Row],[SB]]-표1[[#This Row],[CS]])/표1[[#This Row],[AB]]</f>
        <v>0.24511930585683298</v>
      </c>
      <c r="AI359">
        <f>(표1[[#This Row],[TB]]+표1[[#This Row],[BB]]+표1[[#This Row],[HBP]]+표1[[#This Row],[SB]]-표1[[#This Row],[CS]])/(표1[[#This Row],[AB]]-표1[[#This Row],[H]]+표1[[#This Row],[CS]]+표1[[#This Row],[GDP]])</f>
        <v>0.73837209302325579</v>
      </c>
      <c r="AJ35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70.572402234636868</v>
      </c>
      <c r="AK359">
        <f>표1[[#This Row],[RC]]/((표1[[#This Row],[AB]]-표1[[#This Row],[H]]+표1[[#This Row],[SAC]]+표1[[#This Row],[SF]]+표1[[#This Row],[CS]]+표1[[#This Row],[GDP]])/27)</f>
        <v>5.2347660998219654</v>
      </c>
      <c r="AL35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0.33851923076923079</v>
      </c>
      <c r="AM35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68.832000000000022</v>
      </c>
    </row>
    <row r="360" spans="1:39" x14ac:dyDescent="0.3">
      <c r="A360" t="str">
        <f>_xlfn.CONCAT(표1[[#This Row],[Year]],표1[[#This Row],[Player]])</f>
        <v>2010송지만</v>
      </c>
      <c r="B360">
        <v>2010</v>
      </c>
      <c r="C360">
        <v>24</v>
      </c>
      <c r="D360" t="s">
        <v>62</v>
      </c>
      <c r="E360" t="s">
        <v>125</v>
      </c>
      <c r="F360">
        <v>0.29099999999999998</v>
      </c>
      <c r="G360">
        <v>127</v>
      </c>
      <c r="H360">
        <v>432</v>
      </c>
      <c r="I360">
        <v>375</v>
      </c>
      <c r="J360">
        <v>52</v>
      </c>
      <c r="K360">
        <v>109</v>
      </c>
      <c r="L360">
        <f>표1[[#This Row],[H]]-표1[[#This Row],[2B]]-표1[[#This Row],[3B]]-표1[[#This Row],[HR]]</f>
        <v>76</v>
      </c>
      <c r="M360">
        <v>15</v>
      </c>
      <c r="N360">
        <v>1</v>
      </c>
      <c r="O360">
        <v>17</v>
      </c>
      <c r="P360">
        <v>177</v>
      </c>
      <c r="Q360">
        <v>63</v>
      </c>
      <c r="R360">
        <v>2</v>
      </c>
      <c r="S360">
        <v>6</v>
      </c>
      <c r="T360">
        <v>41</v>
      </c>
      <c r="U360">
        <v>4</v>
      </c>
      <c r="V360">
        <v>5</v>
      </c>
      <c r="W360">
        <v>2</v>
      </c>
      <c r="X360">
        <v>8</v>
      </c>
      <c r="Y360">
        <v>85</v>
      </c>
      <c r="Z360">
        <v>5</v>
      </c>
      <c r="AA360">
        <v>0.47199999999999998</v>
      </c>
      <c r="AB360">
        <v>0.36699999999999999</v>
      </c>
      <c r="AC360">
        <v>0.83899999999999997</v>
      </c>
      <c r="AD360">
        <v>25</v>
      </c>
      <c r="AE360">
        <v>0.248</v>
      </c>
      <c r="AF360">
        <v>0.182</v>
      </c>
      <c r="AG360">
        <f>(표1[[#This Row],[TB]]-표1[[#This Row],[H]])/표1[[#This Row],[AB]]</f>
        <v>0.18133333333333335</v>
      </c>
      <c r="AH360">
        <f>(표1[[#This Row],[TB]]-표1[[#This Row],[H]]+표1[[#This Row],[BB]]+표1[[#This Row],[SB]]-표1[[#This Row],[CS]])/표1[[#This Row],[AB]]</f>
        <v>0.29866666666666669</v>
      </c>
      <c r="AI360">
        <f>(표1[[#This Row],[TB]]+표1[[#This Row],[BB]]+표1[[#This Row],[HBP]]+표1[[#This Row],[SB]]-표1[[#This Row],[CS]])/(표1[[#This Row],[AB]]-표1[[#This Row],[H]]+표1[[#This Row],[CS]]+표1[[#This Row],[GDP]])</f>
        <v>0.83882783882783885</v>
      </c>
      <c r="AJ36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68.320509259259254</v>
      </c>
      <c r="AK360">
        <f>표1[[#This Row],[RC]]/((표1[[#This Row],[AB]]-표1[[#This Row],[H]]+표1[[#This Row],[SAC]]+표1[[#This Row],[SF]]+표1[[#This Row],[CS]]+표1[[#This Row],[GDP]])/27)</f>
        <v>6.5646040925266904</v>
      </c>
      <c r="AL36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0.36141079812206567</v>
      </c>
      <c r="AM36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66.710000000000008</v>
      </c>
    </row>
    <row r="361" spans="1:39" x14ac:dyDescent="0.3">
      <c r="A361" t="str">
        <f>_xlfn.CONCAT(표1[[#This Row],[Year]],표1[[#This Row],[Player]])</f>
        <v>2010이병규</v>
      </c>
      <c r="B361">
        <v>2010</v>
      </c>
      <c r="C361">
        <v>25</v>
      </c>
      <c r="D361" t="s">
        <v>50</v>
      </c>
      <c r="E361" t="s">
        <v>36</v>
      </c>
      <c r="F361">
        <v>0.28999999999999998</v>
      </c>
      <c r="G361">
        <v>117</v>
      </c>
      <c r="H361">
        <v>451</v>
      </c>
      <c r="I361">
        <v>404</v>
      </c>
      <c r="J361">
        <v>49</v>
      </c>
      <c r="K361">
        <v>117</v>
      </c>
      <c r="L361">
        <f>표1[[#This Row],[H]]-표1[[#This Row],[2B]]-표1[[#This Row],[3B]]-표1[[#This Row],[HR]]</f>
        <v>93</v>
      </c>
      <c r="M361">
        <v>14</v>
      </c>
      <c r="N361">
        <v>1</v>
      </c>
      <c r="O361">
        <v>9</v>
      </c>
      <c r="P361">
        <v>160</v>
      </c>
      <c r="Q361">
        <v>64</v>
      </c>
      <c r="R361">
        <v>4</v>
      </c>
      <c r="S361">
        <v>6</v>
      </c>
      <c r="T361">
        <v>36</v>
      </c>
      <c r="U361">
        <v>5</v>
      </c>
      <c r="V361">
        <v>3</v>
      </c>
      <c r="W361">
        <v>4</v>
      </c>
      <c r="X361">
        <v>1</v>
      </c>
      <c r="Y361">
        <v>53</v>
      </c>
      <c r="Z361">
        <v>11</v>
      </c>
      <c r="AA361">
        <v>0.39600000000000002</v>
      </c>
      <c r="AB361">
        <v>0.34499999999999997</v>
      </c>
      <c r="AC361">
        <v>0.74099999999999999</v>
      </c>
      <c r="AD361">
        <v>39</v>
      </c>
      <c r="AE361">
        <v>0.29099999999999998</v>
      </c>
      <c r="AF361">
        <v>6.7000000000000004E-2</v>
      </c>
      <c r="AG361">
        <f>(표1[[#This Row],[TB]]-표1[[#This Row],[H]])/표1[[#This Row],[AB]]</f>
        <v>0.10643564356435643</v>
      </c>
      <c r="AH361">
        <f>(표1[[#This Row],[TB]]-표1[[#This Row],[H]]+표1[[#This Row],[BB]]+표1[[#This Row],[SB]]-표1[[#This Row],[CS]])/표1[[#This Row],[AB]]</f>
        <v>0.19306930693069307</v>
      </c>
      <c r="AI361">
        <f>(표1[[#This Row],[TB]]+표1[[#This Row],[BB]]+표1[[#This Row],[HBP]]+표1[[#This Row],[SB]]-표1[[#This Row],[CS]])/(표1[[#This Row],[AB]]-표1[[#This Row],[H]]+표1[[#This Row],[CS]]+표1[[#This Row],[GDP]])</f>
        <v>0.64900662251655628</v>
      </c>
      <c r="AJ36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53.960354767184036</v>
      </c>
      <c r="AK361">
        <f>표1[[#This Row],[RC]]/((표1[[#This Row],[AB]]-표1[[#This Row],[H]]+표1[[#This Row],[SAC]]+표1[[#This Row],[SF]]+표1[[#This Row],[CS]]+표1[[#This Row],[GDP]])/27)</f>
        <v>4.6696460856216957</v>
      </c>
      <c r="AL36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0.32142081447963805</v>
      </c>
      <c r="AM36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54.025999999999982</v>
      </c>
    </row>
    <row r="362" spans="1:39" x14ac:dyDescent="0.3">
      <c r="A362" t="str">
        <f>_xlfn.CONCAT(표1[[#This Row],[Year]],표1[[#This Row],[Player]])</f>
        <v>2010최희섭</v>
      </c>
      <c r="B362">
        <v>2010</v>
      </c>
      <c r="C362">
        <v>26</v>
      </c>
      <c r="D362" t="s">
        <v>115</v>
      </c>
      <c r="E362" t="s">
        <v>13</v>
      </c>
      <c r="F362">
        <v>0.28599999999999998</v>
      </c>
      <c r="G362">
        <v>126</v>
      </c>
      <c r="H362">
        <v>532</v>
      </c>
      <c r="I362">
        <v>444</v>
      </c>
      <c r="J362">
        <v>78</v>
      </c>
      <c r="K362">
        <v>127</v>
      </c>
      <c r="L362">
        <f>표1[[#This Row],[H]]-표1[[#This Row],[2B]]-표1[[#This Row],[3B]]-표1[[#This Row],[HR]]</f>
        <v>83</v>
      </c>
      <c r="M362">
        <v>22</v>
      </c>
      <c r="N362">
        <v>1</v>
      </c>
      <c r="O362">
        <v>21</v>
      </c>
      <c r="P362">
        <v>214</v>
      </c>
      <c r="Q362">
        <v>84</v>
      </c>
      <c r="R362">
        <v>0</v>
      </c>
      <c r="S362">
        <v>3</v>
      </c>
      <c r="T362">
        <v>81</v>
      </c>
      <c r="U362">
        <v>7</v>
      </c>
      <c r="V362">
        <v>4</v>
      </c>
      <c r="W362">
        <v>3</v>
      </c>
      <c r="X362">
        <v>4</v>
      </c>
      <c r="Y362">
        <v>109</v>
      </c>
      <c r="Z362">
        <v>17</v>
      </c>
      <c r="AA362">
        <v>0.48199999999999998</v>
      </c>
      <c r="AB362">
        <v>0.39800000000000002</v>
      </c>
      <c r="AC362">
        <v>0.88</v>
      </c>
      <c r="AD362">
        <v>32</v>
      </c>
      <c r="AE362">
        <v>0.27900000000000003</v>
      </c>
      <c r="AF362">
        <v>0</v>
      </c>
      <c r="AG362">
        <f>(표1[[#This Row],[TB]]-표1[[#This Row],[H]])/표1[[#This Row],[AB]]</f>
        <v>0.19594594594594594</v>
      </c>
      <c r="AH362">
        <f>(표1[[#This Row],[TB]]-표1[[#This Row],[H]]+표1[[#This Row],[BB]]+표1[[#This Row],[SB]]-표1[[#This Row],[CS]])/표1[[#This Row],[AB]]</f>
        <v>0.38063063063063063</v>
      </c>
      <c r="AI362">
        <f>(표1[[#This Row],[TB]]+표1[[#This Row],[BB]]+표1[[#This Row],[HBP]]+표1[[#This Row],[SB]]-표1[[#This Row],[CS]])/(표1[[#This Row],[AB]]-표1[[#This Row],[H]]+표1[[#This Row],[CS]]+표1[[#This Row],[GDP]])</f>
        <v>0.89020771513353114</v>
      </c>
      <c r="AJ36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85.865864661654129</v>
      </c>
      <c r="AK362">
        <f>표1[[#This Row],[RC]]/((표1[[#This Row],[AB]]-표1[[#This Row],[H]]+표1[[#This Row],[SAC]]+표1[[#This Row],[SF]]+표1[[#This Row],[CS]]+표1[[#This Row],[GDP]])/27)</f>
        <v>6.8187598407784158</v>
      </c>
      <c r="AL36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0.38068380952380948</v>
      </c>
      <c r="AM36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82.067999999999998</v>
      </c>
    </row>
    <row r="363" spans="1:39" x14ac:dyDescent="0.3">
      <c r="A363" t="str">
        <f>_xlfn.CONCAT(표1[[#This Row],[Year]],표1[[#This Row],[Player]])</f>
        <v>2010장기영</v>
      </c>
      <c r="B363">
        <v>2010</v>
      </c>
      <c r="C363">
        <v>27</v>
      </c>
      <c r="D363" t="s">
        <v>128</v>
      </c>
      <c r="E363" t="s">
        <v>125</v>
      </c>
      <c r="F363">
        <v>0.28299999999999997</v>
      </c>
      <c r="G363">
        <v>119</v>
      </c>
      <c r="H363">
        <v>493</v>
      </c>
      <c r="I363">
        <v>435</v>
      </c>
      <c r="J363">
        <v>60</v>
      </c>
      <c r="K363">
        <v>123</v>
      </c>
      <c r="L363">
        <f>표1[[#This Row],[H]]-표1[[#This Row],[2B]]-표1[[#This Row],[3B]]-표1[[#This Row],[HR]]</f>
        <v>96</v>
      </c>
      <c r="M363">
        <v>16</v>
      </c>
      <c r="N363">
        <v>10</v>
      </c>
      <c r="O363">
        <v>1</v>
      </c>
      <c r="P363">
        <v>162</v>
      </c>
      <c r="Q363">
        <v>47</v>
      </c>
      <c r="R363">
        <v>12</v>
      </c>
      <c r="S363">
        <v>4</v>
      </c>
      <c r="T363">
        <v>41</v>
      </c>
      <c r="U363">
        <v>0</v>
      </c>
      <c r="V363">
        <v>41</v>
      </c>
      <c r="W363">
        <v>14</v>
      </c>
      <c r="X363">
        <v>1</v>
      </c>
      <c r="Y363">
        <v>74</v>
      </c>
      <c r="Z363">
        <v>6</v>
      </c>
      <c r="AA363">
        <v>0.372</v>
      </c>
      <c r="AB363">
        <v>0.34300000000000003</v>
      </c>
      <c r="AC363">
        <v>0.71499999999999997</v>
      </c>
      <c r="AD363">
        <v>34</v>
      </c>
      <c r="AE363">
        <v>0.314</v>
      </c>
      <c r="AF363">
        <v>0</v>
      </c>
      <c r="AG363">
        <f>(표1[[#This Row],[TB]]-표1[[#This Row],[H]])/표1[[#This Row],[AB]]</f>
        <v>8.9655172413793102E-2</v>
      </c>
      <c r="AH363">
        <f>(표1[[#This Row],[TB]]-표1[[#This Row],[H]]+표1[[#This Row],[BB]]+표1[[#This Row],[SB]]-표1[[#This Row],[CS]])/표1[[#This Row],[AB]]</f>
        <v>0.24597701149425288</v>
      </c>
      <c r="AI363">
        <f>(표1[[#This Row],[TB]]+표1[[#This Row],[BB]]+표1[[#This Row],[HBP]]+표1[[#This Row],[SB]]-표1[[#This Row],[CS]])/(표1[[#This Row],[AB]]-표1[[#This Row],[H]]+표1[[#This Row],[CS]]+표1[[#This Row],[GDP]])</f>
        <v>0.69578313253012047</v>
      </c>
      <c r="AJ36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59.576470588235296</v>
      </c>
      <c r="AK363">
        <f>표1[[#This Row],[RC]]/((표1[[#This Row],[AB]]-표1[[#This Row],[H]]+표1[[#This Row],[SAC]]+표1[[#This Row],[SF]]+표1[[#This Row],[CS]]+표1[[#This Row],[GDP]])/27)</f>
        <v>4.6223123732251521</v>
      </c>
      <c r="AL36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0.31604365904365905</v>
      </c>
      <c r="AM36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59.607999999999983</v>
      </c>
    </row>
    <row r="364" spans="1:39" x14ac:dyDescent="0.3">
      <c r="A364" t="str">
        <f>_xlfn.CONCAT(표1[[#This Row],[Year]],표1[[#This Row],[Player]])</f>
        <v>2010신명철</v>
      </c>
      <c r="B364">
        <v>2010</v>
      </c>
      <c r="C364">
        <v>28</v>
      </c>
      <c r="D364" t="s">
        <v>75</v>
      </c>
      <c r="E364" t="s">
        <v>6</v>
      </c>
      <c r="F364">
        <v>0.28000000000000003</v>
      </c>
      <c r="G364">
        <v>125</v>
      </c>
      <c r="H364">
        <v>476</v>
      </c>
      <c r="I364">
        <v>397</v>
      </c>
      <c r="J364">
        <v>56</v>
      </c>
      <c r="K364">
        <v>111</v>
      </c>
      <c r="L364">
        <f>표1[[#This Row],[H]]-표1[[#This Row],[2B]]-표1[[#This Row],[3B]]-표1[[#This Row],[HR]]</f>
        <v>79</v>
      </c>
      <c r="M364">
        <v>22</v>
      </c>
      <c r="N364">
        <v>1</v>
      </c>
      <c r="O364">
        <v>9</v>
      </c>
      <c r="P364">
        <v>162</v>
      </c>
      <c r="Q364">
        <v>57</v>
      </c>
      <c r="R364">
        <v>13</v>
      </c>
      <c r="S364">
        <v>6</v>
      </c>
      <c r="T364">
        <v>56</v>
      </c>
      <c r="U364">
        <v>2</v>
      </c>
      <c r="V364">
        <v>20</v>
      </c>
      <c r="W364">
        <v>9</v>
      </c>
      <c r="X364">
        <v>4</v>
      </c>
      <c r="Y364">
        <v>82</v>
      </c>
      <c r="Z364">
        <v>14</v>
      </c>
      <c r="AA364">
        <v>0.40799999999999997</v>
      </c>
      <c r="AB364">
        <v>0.36899999999999999</v>
      </c>
      <c r="AC364">
        <v>0.77700000000000002</v>
      </c>
      <c r="AD364">
        <v>28</v>
      </c>
      <c r="AE364">
        <v>0.26400000000000001</v>
      </c>
      <c r="AF364">
        <v>0.16700000000000001</v>
      </c>
      <c r="AG364">
        <f>(표1[[#This Row],[TB]]-표1[[#This Row],[H]])/표1[[#This Row],[AB]]</f>
        <v>0.12846347607052896</v>
      </c>
      <c r="AH364">
        <f>(표1[[#This Row],[TB]]-표1[[#This Row],[H]]+표1[[#This Row],[BB]]+표1[[#This Row],[SB]]-표1[[#This Row],[CS]])/표1[[#This Row],[AB]]</f>
        <v>0.29722921914357681</v>
      </c>
      <c r="AI364">
        <f>(표1[[#This Row],[TB]]+표1[[#This Row],[BB]]+표1[[#This Row],[HBP]]+표1[[#This Row],[SB]]-표1[[#This Row],[CS]])/(표1[[#This Row],[AB]]-표1[[#This Row],[H]]+표1[[#This Row],[CS]]+표1[[#This Row],[GDP]])</f>
        <v>0.75404530744336573</v>
      </c>
      <c r="AJ36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61.364033613445386</v>
      </c>
      <c r="AK364">
        <f>표1[[#This Row],[RC]]/((표1[[#This Row],[AB]]-표1[[#This Row],[H]]+표1[[#This Row],[SAC]]+표1[[#This Row],[SF]]+표1[[#This Row],[CS]]+표1[[#This Row],[GDP]])/27)</f>
        <v>5.0513076450092234</v>
      </c>
      <c r="AL36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0.34231453362255965</v>
      </c>
      <c r="AM36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61.444000000000003</v>
      </c>
    </row>
    <row r="365" spans="1:39" x14ac:dyDescent="0.3">
      <c r="A365" t="str">
        <f>_xlfn.CONCAT(표1[[#This Row],[Year]],표1[[#This Row],[Player]])</f>
        <v>2010최형우</v>
      </c>
      <c r="B365">
        <v>2010</v>
      </c>
      <c r="C365">
        <v>29</v>
      </c>
      <c r="D365" t="s">
        <v>105</v>
      </c>
      <c r="E365" t="s">
        <v>6</v>
      </c>
      <c r="F365">
        <v>0.27900000000000003</v>
      </c>
      <c r="G365">
        <v>121</v>
      </c>
      <c r="H365">
        <v>506</v>
      </c>
      <c r="I365">
        <v>420</v>
      </c>
      <c r="J365">
        <v>71</v>
      </c>
      <c r="K365">
        <v>117</v>
      </c>
      <c r="L365">
        <f>표1[[#This Row],[H]]-표1[[#This Row],[2B]]-표1[[#This Row],[3B]]-표1[[#This Row],[HR]]</f>
        <v>63</v>
      </c>
      <c r="M365">
        <v>29</v>
      </c>
      <c r="N365">
        <v>1</v>
      </c>
      <c r="O365">
        <v>24</v>
      </c>
      <c r="P365">
        <v>220</v>
      </c>
      <c r="Q365">
        <v>97</v>
      </c>
      <c r="R365">
        <v>2</v>
      </c>
      <c r="S365">
        <v>5</v>
      </c>
      <c r="T365">
        <v>71</v>
      </c>
      <c r="U365">
        <v>5</v>
      </c>
      <c r="V365">
        <v>4</v>
      </c>
      <c r="W365">
        <v>0</v>
      </c>
      <c r="X365">
        <v>8</v>
      </c>
      <c r="Y365">
        <v>91</v>
      </c>
      <c r="Z365">
        <v>13</v>
      </c>
      <c r="AA365">
        <v>0.52400000000000002</v>
      </c>
      <c r="AB365">
        <v>0.38900000000000001</v>
      </c>
      <c r="AC365">
        <v>0.91300000000000003</v>
      </c>
      <c r="AD365">
        <v>26</v>
      </c>
      <c r="AE365">
        <v>0.309</v>
      </c>
      <c r="AF365">
        <v>0.5</v>
      </c>
      <c r="AG365">
        <f>(표1[[#This Row],[TB]]-표1[[#This Row],[H]])/표1[[#This Row],[AB]]</f>
        <v>0.24523809523809523</v>
      </c>
      <c r="AH365">
        <f>(표1[[#This Row],[TB]]-표1[[#This Row],[H]]+표1[[#This Row],[BB]]+표1[[#This Row],[SB]]-표1[[#This Row],[CS]])/표1[[#This Row],[AB]]</f>
        <v>0.4238095238095238</v>
      </c>
      <c r="AI365">
        <f>(표1[[#This Row],[TB]]+표1[[#This Row],[BB]]+표1[[#This Row],[HBP]]+표1[[#This Row],[SB]]-표1[[#This Row],[CS]])/(표1[[#This Row],[AB]]-표1[[#This Row],[H]]+표1[[#This Row],[CS]]+표1[[#This Row],[GDP]])</f>
        <v>0.95886075949367089</v>
      </c>
      <c r="AJ36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88.592252964426876</v>
      </c>
      <c r="AK365">
        <f>표1[[#This Row],[RC]]/((표1[[#This Row],[AB]]-표1[[#This Row],[H]]+표1[[#This Row],[SAC]]+표1[[#This Row],[SF]]+표1[[#This Row],[CS]]+표1[[#This Row],[GDP]])/27)</f>
        <v>7.4055443654474473</v>
      </c>
      <c r="AL36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0.3898036072144288</v>
      </c>
      <c r="AM36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84.231999999999971</v>
      </c>
    </row>
    <row r="366" spans="1:39" x14ac:dyDescent="0.3">
      <c r="A366" t="str">
        <f>_xlfn.CONCAT(표1[[#This Row],[Year]],표1[[#This Row],[Player]])</f>
        <v>2010김주찬</v>
      </c>
      <c r="B366">
        <v>2010</v>
      </c>
      <c r="C366">
        <v>30</v>
      </c>
      <c r="D366" t="s">
        <v>65</v>
      </c>
      <c r="E366" t="s">
        <v>17</v>
      </c>
      <c r="F366">
        <v>0.27600000000000002</v>
      </c>
      <c r="G366">
        <v>118</v>
      </c>
      <c r="H366">
        <v>535</v>
      </c>
      <c r="I366">
        <v>485</v>
      </c>
      <c r="J366">
        <v>89</v>
      </c>
      <c r="K366">
        <v>134</v>
      </c>
      <c r="L366">
        <f>표1[[#This Row],[H]]-표1[[#This Row],[2B]]-표1[[#This Row],[3B]]-표1[[#This Row],[HR]]</f>
        <v>103</v>
      </c>
      <c r="M366">
        <v>18</v>
      </c>
      <c r="N366">
        <v>4</v>
      </c>
      <c r="O366">
        <v>9</v>
      </c>
      <c r="P366">
        <v>187</v>
      </c>
      <c r="Q366">
        <v>40</v>
      </c>
      <c r="R366">
        <v>11</v>
      </c>
      <c r="S366">
        <v>3</v>
      </c>
      <c r="T366">
        <v>31</v>
      </c>
      <c r="U366">
        <v>1</v>
      </c>
      <c r="V366">
        <v>65</v>
      </c>
      <c r="W366">
        <v>19</v>
      </c>
      <c r="X366">
        <v>5</v>
      </c>
      <c r="Y366">
        <v>65</v>
      </c>
      <c r="Z366">
        <v>5</v>
      </c>
      <c r="AA366">
        <v>0.38600000000000001</v>
      </c>
      <c r="AB366">
        <v>0.32400000000000001</v>
      </c>
      <c r="AC366">
        <v>0.71</v>
      </c>
      <c r="AD366">
        <v>40</v>
      </c>
      <c r="AE366">
        <v>0.29399999999999998</v>
      </c>
      <c r="AF366">
        <v>0</v>
      </c>
      <c r="AG366">
        <f>(표1[[#This Row],[TB]]-표1[[#This Row],[H]])/표1[[#This Row],[AB]]</f>
        <v>0.10927835051546392</v>
      </c>
      <c r="AH366">
        <f>(표1[[#This Row],[TB]]-표1[[#This Row],[H]]+표1[[#This Row],[BB]]+표1[[#This Row],[SB]]-표1[[#This Row],[CS]])/표1[[#This Row],[AB]]</f>
        <v>0.26804123711340205</v>
      </c>
      <c r="AI366">
        <f>(표1[[#This Row],[TB]]+표1[[#This Row],[BB]]+표1[[#This Row],[HBP]]+표1[[#This Row],[SB]]-표1[[#This Row],[CS]])/(표1[[#This Row],[AB]]-표1[[#This Row],[H]]+표1[[#This Row],[CS]]+표1[[#This Row],[GDP]])</f>
        <v>0.71733333333333338</v>
      </c>
      <c r="AJ36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64.725757009345799</v>
      </c>
      <c r="AK366">
        <f>표1[[#This Row],[RC]]/((표1[[#This Row],[AB]]-표1[[#This Row],[H]]+표1[[#This Row],[SAC]]+표1[[#This Row],[SF]]+표1[[#This Row],[CS]]+표1[[#This Row],[GDP]])/27)</f>
        <v>4.4925332628594772</v>
      </c>
      <c r="AL36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0.31149521988527723</v>
      </c>
      <c r="AM36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66.94</v>
      </c>
    </row>
    <row r="367" spans="1:39" x14ac:dyDescent="0.3">
      <c r="A367" t="str">
        <f>_xlfn.CONCAT(표1[[#This Row],[Year]],표1[[#This Row],[Player]])</f>
        <v>2010오재원</v>
      </c>
      <c r="B367">
        <v>2010</v>
      </c>
      <c r="C367">
        <v>31</v>
      </c>
      <c r="D367" t="s">
        <v>129</v>
      </c>
      <c r="E367" t="s">
        <v>1</v>
      </c>
      <c r="F367">
        <v>0.27600000000000002</v>
      </c>
      <c r="G367">
        <v>123</v>
      </c>
      <c r="H367">
        <v>421</v>
      </c>
      <c r="I367">
        <v>384</v>
      </c>
      <c r="J367">
        <v>59</v>
      </c>
      <c r="K367">
        <v>106</v>
      </c>
      <c r="L367">
        <f>표1[[#This Row],[H]]-표1[[#This Row],[2B]]-표1[[#This Row],[3B]]-표1[[#This Row],[HR]]</f>
        <v>86</v>
      </c>
      <c r="M367">
        <v>17</v>
      </c>
      <c r="N367">
        <v>3</v>
      </c>
      <c r="O367">
        <v>0</v>
      </c>
      <c r="P367">
        <v>129</v>
      </c>
      <c r="Q367">
        <v>37</v>
      </c>
      <c r="R367">
        <v>2</v>
      </c>
      <c r="S367">
        <v>2</v>
      </c>
      <c r="T367">
        <v>29</v>
      </c>
      <c r="U367">
        <v>1</v>
      </c>
      <c r="V367">
        <v>35</v>
      </c>
      <c r="W367">
        <v>10</v>
      </c>
      <c r="X367">
        <v>4</v>
      </c>
      <c r="Y367">
        <v>76</v>
      </c>
      <c r="Z367">
        <v>5</v>
      </c>
      <c r="AA367">
        <v>0.33600000000000002</v>
      </c>
      <c r="AB367">
        <v>0.33200000000000002</v>
      </c>
      <c r="AC367">
        <v>0.66800000000000004</v>
      </c>
      <c r="AD367">
        <v>24</v>
      </c>
      <c r="AE367">
        <v>0.246</v>
      </c>
      <c r="AF367">
        <v>0</v>
      </c>
      <c r="AG367">
        <f>(표1[[#This Row],[TB]]-표1[[#This Row],[H]])/표1[[#This Row],[AB]]</f>
        <v>5.9895833333333336E-2</v>
      </c>
      <c r="AH367">
        <f>(표1[[#This Row],[TB]]-표1[[#This Row],[H]]+표1[[#This Row],[BB]]+표1[[#This Row],[SB]]-표1[[#This Row],[CS]])/표1[[#This Row],[AB]]</f>
        <v>0.20052083333333334</v>
      </c>
      <c r="AI367">
        <f>(표1[[#This Row],[TB]]+표1[[#This Row],[BB]]+표1[[#This Row],[HBP]]+표1[[#This Row],[SB]]-표1[[#This Row],[CS]])/(표1[[#This Row],[AB]]-표1[[#This Row],[H]]+표1[[#This Row],[CS]]+표1[[#This Row],[GDP]])</f>
        <v>0.63822525597269619</v>
      </c>
      <c r="AJ36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46.419002375296905</v>
      </c>
      <c r="AK367">
        <f>표1[[#This Row],[RC]]/((표1[[#This Row],[AB]]-표1[[#This Row],[H]]+표1[[#This Row],[SAC]]+표1[[#This Row],[SF]]+표1[[#This Row],[CS]]+표1[[#This Row],[GDP]])/27)</f>
        <v>4.2199093068451736</v>
      </c>
      <c r="AL36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0.29762679425837318</v>
      </c>
      <c r="AM36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45.931999999999988</v>
      </c>
    </row>
    <row r="368" spans="1:39" x14ac:dyDescent="0.3">
      <c r="A368" t="str">
        <f>_xlfn.CONCAT(표1[[#This Row],[Year]],표1[[#This Row],[Player]])</f>
        <v>2010손시헌</v>
      </c>
      <c r="B368">
        <v>2010</v>
      </c>
      <c r="C368">
        <v>32</v>
      </c>
      <c r="D368" t="s">
        <v>71</v>
      </c>
      <c r="E368" t="s">
        <v>1</v>
      </c>
      <c r="F368">
        <v>0.27300000000000002</v>
      </c>
      <c r="G368">
        <v>128</v>
      </c>
      <c r="H368">
        <v>499</v>
      </c>
      <c r="I368">
        <v>433</v>
      </c>
      <c r="J368">
        <v>51</v>
      </c>
      <c r="K368">
        <v>118</v>
      </c>
      <c r="L368">
        <f>표1[[#This Row],[H]]-표1[[#This Row],[2B]]-표1[[#This Row],[3B]]-표1[[#This Row],[HR]]</f>
        <v>90</v>
      </c>
      <c r="M368">
        <v>19</v>
      </c>
      <c r="N368">
        <v>1</v>
      </c>
      <c r="O368">
        <v>8</v>
      </c>
      <c r="P368">
        <v>163</v>
      </c>
      <c r="Q368">
        <v>62</v>
      </c>
      <c r="R368">
        <v>10</v>
      </c>
      <c r="S368">
        <v>3</v>
      </c>
      <c r="T368">
        <v>46</v>
      </c>
      <c r="U368">
        <v>2</v>
      </c>
      <c r="V368">
        <v>0</v>
      </c>
      <c r="W368">
        <v>2</v>
      </c>
      <c r="X368">
        <v>7</v>
      </c>
      <c r="Y368">
        <v>64</v>
      </c>
      <c r="Z368">
        <v>12</v>
      </c>
      <c r="AA368">
        <v>0.376</v>
      </c>
      <c r="AB368">
        <v>0.35</v>
      </c>
      <c r="AC368">
        <v>0.72599999999999998</v>
      </c>
      <c r="AD368">
        <v>30</v>
      </c>
      <c r="AE368">
        <v>0.33900000000000002</v>
      </c>
      <c r="AF368">
        <v>0.33300000000000002</v>
      </c>
      <c r="AG368">
        <f>(표1[[#This Row],[TB]]-표1[[#This Row],[H]])/표1[[#This Row],[AB]]</f>
        <v>0.10392609699769054</v>
      </c>
      <c r="AH368">
        <f>(표1[[#This Row],[TB]]-표1[[#This Row],[H]]+표1[[#This Row],[BB]]+표1[[#This Row],[SB]]-표1[[#This Row],[CS]])/표1[[#This Row],[AB]]</f>
        <v>0.20554272517321015</v>
      </c>
      <c r="AI368">
        <f>(표1[[#This Row],[TB]]+표1[[#This Row],[BB]]+표1[[#This Row],[HBP]]+표1[[#This Row],[SB]]-표1[[#This Row],[CS]])/(표1[[#This Row],[AB]]-표1[[#This Row],[H]]+표1[[#This Row],[CS]]+표1[[#This Row],[GDP]])</f>
        <v>0.65045592705167177</v>
      </c>
      <c r="AJ36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57.583446893787567</v>
      </c>
      <c r="AK368">
        <f>표1[[#This Row],[RC]]/((표1[[#This Row],[AB]]-표1[[#This Row],[H]]+표1[[#This Row],[SAC]]+표1[[#This Row],[SF]]+표1[[#This Row],[CS]]+표1[[#This Row],[GDP]])/27)</f>
        <v>4.5460615968779656</v>
      </c>
      <c r="AL36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0.32229568788501028</v>
      </c>
      <c r="AM36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56.647999999999996</v>
      </c>
    </row>
    <row r="369" spans="1:39" x14ac:dyDescent="0.3">
      <c r="A369" t="str">
        <f>_xlfn.CONCAT(표1[[#This Row],[Year]],표1[[#This Row],[Player]])</f>
        <v>2010이영욱</v>
      </c>
      <c r="B369">
        <v>2010</v>
      </c>
      <c r="C369">
        <v>33</v>
      </c>
      <c r="D369" t="s">
        <v>130</v>
      </c>
      <c r="E369" t="s">
        <v>6</v>
      </c>
      <c r="F369">
        <v>0.27200000000000002</v>
      </c>
      <c r="G369">
        <v>120</v>
      </c>
      <c r="H369">
        <v>479</v>
      </c>
      <c r="I369">
        <v>408</v>
      </c>
      <c r="J369">
        <v>68</v>
      </c>
      <c r="K369">
        <v>111</v>
      </c>
      <c r="L369">
        <f>표1[[#This Row],[H]]-표1[[#This Row],[2B]]-표1[[#This Row],[3B]]-표1[[#This Row],[HR]]</f>
        <v>86</v>
      </c>
      <c r="M369">
        <v>19</v>
      </c>
      <c r="N369">
        <v>2</v>
      </c>
      <c r="O369">
        <v>4</v>
      </c>
      <c r="P369">
        <v>146</v>
      </c>
      <c r="Q369">
        <v>42</v>
      </c>
      <c r="R369">
        <v>9</v>
      </c>
      <c r="S369">
        <v>4</v>
      </c>
      <c r="T369">
        <v>51</v>
      </c>
      <c r="U369">
        <v>2</v>
      </c>
      <c r="V369">
        <v>30</v>
      </c>
      <c r="W369">
        <v>8</v>
      </c>
      <c r="X369">
        <v>7</v>
      </c>
      <c r="Y369">
        <v>86</v>
      </c>
      <c r="Z369">
        <v>4</v>
      </c>
      <c r="AA369">
        <v>0.35799999999999998</v>
      </c>
      <c r="AB369">
        <v>0.36</v>
      </c>
      <c r="AC369">
        <v>0.71799999999999997</v>
      </c>
      <c r="AD369">
        <v>32</v>
      </c>
      <c r="AE369">
        <v>0.26</v>
      </c>
      <c r="AF369">
        <v>1</v>
      </c>
      <c r="AG369">
        <f>(표1[[#This Row],[TB]]-표1[[#This Row],[H]])/표1[[#This Row],[AB]]</f>
        <v>8.5784313725490197E-2</v>
      </c>
      <c r="AH369">
        <f>(표1[[#This Row],[TB]]-표1[[#This Row],[H]]+표1[[#This Row],[BB]]+표1[[#This Row],[SB]]-표1[[#This Row],[CS]])/표1[[#This Row],[AB]]</f>
        <v>0.26470588235294118</v>
      </c>
      <c r="AI369">
        <f>(표1[[#This Row],[TB]]+표1[[#This Row],[BB]]+표1[[#This Row],[HBP]]+표1[[#This Row],[SB]]-표1[[#This Row],[CS]])/(표1[[#This Row],[AB]]-표1[[#This Row],[H]]+표1[[#This Row],[CS]]+표1[[#This Row],[GDP]])</f>
        <v>0.73139158576051777</v>
      </c>
      <c r="AJ36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59.954989561586643</v>
      </c>
      <c r="AK369">
        <f>표1[[#This Row],[RC]]/((표1[[#This Row],[AB]]-표1[[#This Row],[H]]+표1[[#This Row],[SAC]]+표1[[#This Row],[SF]]+표1[[#This Row],[CS]]+표1[[#This Row],[GDP]])/27)</f>
        <v>5.0272817334249673</v>
      </c>
      <c r="AL36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0.32102136752136751</v>
      </c>
      <c r="AM36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59.842000000000013</v>
      </c>
    </row>
    <row r="370" spans="1:39" x14ac:dyDescent="0.3">
      <c r="A370" t="str">
        <f>_xlfn.CONCAT(표1[[#This Row],[Year]],표1[[#This Row],[Player]])</f>
        <v>2010양의지</v>
      </c>
      <c r="B370">
        <v>2010</v>
      </c>
      <c r="C370">
        <v>34</v>
      </c>
      <c r="D370" t="s">
        <v>131</v>
      </c>
      <c r="E370" t="s">
        <v>1</v>
      </c>
      <c r="F370">
        <v>0.26700000000000002</v>
      </c>
      <c r="G370">
        <v>127</v>
      </c>
      <c r="H370">
        <v>430</v>
      </c>
      <c r="I370">
        <v>374</v>
      </c>
      <c r="J370">
        <v>48</v>
      </c>
      <c r="K370">
        <v>100</v>
      </c>
      <c r="L370">
        <f>표1[[#This Row],[H]]-표1[[#This Row],[2B]]-표1[[#This Row],[3B]]-표1[[#This Row],[HR]]</f>
        <v>65</v>
      </c>
      <c r="M370">
        <v>14</v>
      </c>
      <c r="N370">
        <v>1</v>
      </c>
      <c r="O370">
        <v>20</v>
      </c>
      <c r="P370">
        <v>176</v>
      </c>
      <c r="Q370">
        <v>68</v>
      </c>
      <c r="R370">
        <v>5</v>
      </c>
      <c r="S370">
        <v>3</v>
      </c>
      <c r="T370">
        <v>40</v>
      </c>
      <c r="U370">
        <v>1</v>
      </c>
      <c r="V370">
        <v>4</v>
      </c>
      <c r="W370">
        <v>1</v>
      </c>
      <c r="X370">
        <v>8</v>
      </c>
      <c r="Y370">
        <v>68</v>
      </c>
      <c r="Z370">
        <v>12</v>
      </c>
      <c r="AA370">
        <v>0.47099999999999997</v>
      </c>
      <c r="AB370">
        <v>0.34799999999999998</v>
      </c>
      <c r="AC370">
        <v>0.81899999999999995</v>
      </c>
      <c r="AD370">
        <v>27</v>
      </c>
      <c r="AE370">
        <v>0.29199999999999998</v>
      </c>
      <c r="AF370">
        <v>0</v>
      </c>
      <c r="AG370">
        <f>(표1[[#This Row],[TB]]-표1[[#This Row],[H]])/표1[[#This Row],[AB]]</f>
        <v>0.20320855614973263</v>
      </c>
      <c r="AH370">
        <f>(표1[[#This Row],[TB]]-표1[[#This Row],[H]]+표1[[#This Row],[BB]]+표1[[#This Row],[SB]]-표1[[#This Row],[CS]])/표1[[#This Row],[AB]]</f>
        <v>0.31818181818181818</v>
      </c>
      <c r="AI370">
        <f>(표1[[#This Row],[TB]]+표1[[#This Row],[BB]]+표1[[#This Row],[HBP]]+표1[[#This Row],[SB]]-표1[[#This Row],[CS]])/(표1[[#This Row],[AB]]-표1[[#This Row],[H]]+표1[[#This Row],[CS]]+표1[[#This Row],[GDP]])</f>
        <v>0.7909407665505227</v>
      </c>
      <c r="AJ37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61.051395348837211</v>
      </c>
      <c r="AK370">
        <f>표1[[#This Row],[RC]]/((표1[[#This Row],[AB]]-표1[[#This Row],[H]]+표1[[#This Row],[SAC]]+표1[[#This Row],[SF]]+표1[[#This Row],[CS]]+표1[[#This Row],[GDP]])/27)</f>
        <v>5.5877548285376433</v>
      </c>
      <c r="AL37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0.35503773584905662</v>
      </c>
      <c r="AM37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60.715999999999994</v>
      </c>
    </row>
    <row r="371" spans="1:39" x14ac:dyDescent="0.3">
      <c r="A371" t="str">
        <f>_xlfn.CONCAT(표1[[#This Row],[Year]],표1[[#This Row],[Player]])</f>
        <v>2010김태완</v>
      </c>
      <c r="B371">
        <v>2010</v>
      </c>
      <c r="C371">
        <v>35</v>
      </c>
      <c r="D371" t="s">
        <v>107</v>
      </c>
      <c r="E371" t="s">
        <v>11</v>
      </c>
      <c r="F371">
        <v>0.26500000000000001</v>
      </c>
      <c r="G371">
        <v>116</v>
      </c>
      <c r="H371">
        <v>473</v>
      </c>
      <c r="I371">
        <v>370</v>
      </c>
      <c r="J371">
        <v>62</v>
      </c>
      <c r="K371">
        <v>98</v>
      </c>
      <c r="L371">
        <f>표1[[#This Row],[H]]-표1[[#This Row],[2B]]-표1[[#This Row],[3B]]-표1[[#This Row],[HR]]</f>
        <v>70</v>
      </c>
      <c r="M371">
        <v>13</v>
      </c>
      <c r="N371">
        <v>0</v>
      </c>
      <c r="O371">
        <v>15</v>
      </c>
      <c r="P371">
        <v>156</v>
      </c>
      <c r="Q371">
        <v>62</v>
      </c>
      <c r="R371">
        <v>0</v>
      </c>
      <c r="S371">
        <v>2</v>
      </c>
      <c r="T371">
        <v>86</v>
      </c>
      <c r="U371">
        <v>3</v>
      </c>
      <c r="V371">
        <v>7</v>
      </c>
      <c r="W371">
        <v>6</v>
      </c>
      <c r="X371">
        <v>13</v>
      </c>
      <c r="Y371">
        <v>99</v>
      </c>
      <c r="Z371">
        <v>9</v>
      </c>
      <c r="AA371">
        <v>0.42199999999999999</v>
      </c>
      <c r="AB371">
        <v>0.41799999999999998</v>
      </c>
      <c r="AC371">
        <v>0.84</v>
      </c>
      <c r="AD371">
        <v>21</v>
      </c>
      <c r="AE371">
        <v>0.313</v>
      </c>
      <c r="AF371">
        <v>0</v>
      </c>
      <c r="AG371">
        <f>(표1[[#This Row],[TB]]-표1[[#This Row],[H]])/표1[[#This Row],[AB]]</f>
        <v>0.15675675675675677</v>
      </c>
      <c r="AH371">
        <f>(표1[[#This Row],[TB]]-표1[[#This Row],[H]]+표1[[#This Row],[BB]]+표1[[#This Row],[SB]]-표1[[#This Row],[CS]])/표1[[#This Row],[AB]]</f>
        <v>0.39189189189189189</v>
      </c>
      <c r="AI371">
        <f>(표1[[#This Row],[TB]]+표1[[#This Row],[BB]]+표1[[#This Row],[HBP]]+표1[[#This Row],[SB]]-표1[[#This Row],[CS]])/(표1[[#This Row],[AB]]-표1[[#This Row],[H]]+표1[[#This Row],[CS]]+표1[[#This Row],[GDP]])</f>
        <v>0.89198606271777003</v>
      </c>
      <c r="AJ37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71.733503184713385</v>
      </c>
      <c r="AK371">
        <f>표1[[#This Row],[RC]]/((표1[[#This Row],[AB]]-표1[[#This Row],[H]]+표1[[#This Row],[SAC]]+표1[[#This Row],[SF]]+표1[[#This Row],[CS]]+표1[[#This Row],[GDP]])/27)</f>
        <v>6.7017459722742609</v>
      </c>
      <c r="AL37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0.37570512820512825</v>
      </c>
      <c r="AM37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70.827999999999989</v>
      </c>
    </row>
    <row r="372" spans="1:39" x14ac:dyDescent="0.3">
      <c r="A372" t="str">
        <f>_xlfn.CONCAT(표1[[#This Row],[Year]],표1[[#This Row],[Player]])</f>
        <v>2010정성훈</v>
      </c>
      <c r="B372">
        <v>2010</v>
      </c>
      <c r="C372">
        <v>36</v>
      </c>
      <c r="D372" t="s">
        <v>61</v>
      </c>
      <c r="E372" t="s">
        <v>36</v>
      </c>
      <c r="F372">
        <v>0.26300000000000001</v>
      </c>
      <c r="G372">
        <v>111</v>
      </c>
      <c r="H372">
        <v>418</v>
      </c>
      <c r="I372">
        <v>365</v>
      </c>
      <c r="J372">
        <v>52</v>
      </c>
      <c r="K372">
        <v>96</v>
      </c>
      <c r="L372">
        <f>표1[[#This Row],[H]]-표1[[#This Row],[2B]]-표1[[#This Row],[3B]]-표1[[#This Row],[HR]]</f>
        <v>71</v>
      </c>
      <c r="M372">
        <v>20</v>
      </c>
      <c r="N372">
        <v>1</v>
      </c>
      <c r="O372">
        <v>4</v>
      </c>
      <c r="P372">
        <v>130</v>
      </c>
      <c r="Q372">
        <v>38</v>
      </c>
      <c r="R372">
        <v>6</v>
      </c>
      <c r="S372">
        <v>2</v>
      </c>
      <c r="T372">
        <v>41</v>
      </c>
      <c r="U372">
        <v>1</v>
      </c>
      <c r="V372">
        <v>3</v>
      </c>
      <c r="W372">
        <v>1</v>
      </c>
      <c r="X372">
        <v>4</v>
      </c>
      <c r="Y372">
        <v>58</v>
      </c>
      <c r="Z372">
        <v>14</v>
      </c>
      <c r="AA372">
        <v>0.35599999999999998</v>
      </c>
      <c r="AB372">
        <v>0.34200000000000003</v>
      </c>
      <c r="AC372">
        <v>0.69799999999999995</v>
      </c>
      <c r="AD372">
        <v>24</v>
      </c>
      <c r="AE372">
        <v>0.255</v>
      </c>
      <c r="AF372">
        <v>0.14299999999999999</v>
      </c>
      <c r="AG372">
        <f>(표1[[#This Row],[TB]]-표1[[#This Row],[H]])/표1[[#This Row],[AB]]</f>
        <v>9.3150684931506855E-2</v>
      </c>
      <c r="AH372">
        <f>(표1[[#This Row],[TB]]-표1[[#This Row],[H]]+표1[[#This Row],[BB]]+표1[[#This Row],[SB]]-표1[[#This Row],[CS]])/표1[[#This Row],[AB]]</f>
        <v>0.21095890410958903</v>
      </c>
      <c r="AI372">
        <f>(표1[[#This Row],[TB]]+표1[[#This Row],[BB]]+표1[[#This Row],[HBP]]+표1[[#This Row],[SB]]-표1[[#This Row],[CS]])/(표1[[#This Row],[AB]]-표1[[#This Row],[H]]+표1[[#This Row],[CS]]+표1[[#This Row],[GDP]])</f>
        <v>0.62323943661971826</v>
      </c>
      <c r="AJ37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44.359234449760763</v>
      </c>
      <c r="AK372">
        <f>표1[[#This Row],[RC]]/((표1[[#This Row],[AB]]-표1[[#This Row],[H]]+표1[[#This Row],[SAC]]+표1[[#This Row],[SF]]+표1[[#This Row],[CS]]+표1[[#This Row],[GDP]])/27)</f>
        <v>4.1017100347381525</v>
      </c>
      <c r="AL37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0.3120608272506083</v>
      </c>
      <c r="AM37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43.256000000000014</v>
      </c>
    </row>
    <row r="373" spans="1:39" x14ac:dyDescent="0.3">
      <c r="A373" t="str">
        <f>_xlfn.CONCAT(표1[[#This Row],[Year]],표1[[#This Row],[Player]])</f>
        <v>2010이성열</v>
      </c>
      <c r="B373">
        <v>2010</v>
      </c>
      <c r="C373">
        <v>37</v>
      </c>
      <c r="D373" t="s">
        <v>132</v>
      </c>
      <c r="E373" t="s">
        <v>1</v>
      </c>
      <c r="F373">
        <v>0.26300000000000001</v>
      </c>
      <c r="G373">
        <v>129</v>
      </c>
      <c r="H373">
        <v>484</v>
      </c>
      <c r="I373">
        <v>419</v>
      </c>
      <c r="J373">
        <v>77</v>
      </c>
      <c r="K373">
        <v>110</v>
      </c>
      <c r="L373">
        <f>표1[[#This Row],[H]]-표1[[#This Row],[2B]]-표1[[#This Row],[3B]]-표1[[#This Row],[HR]]</f>
        <v>58</v>
      </c>
      <c r="M373">
        <v>27</v>
      </c>
      <c r="N373">
        <v>1</v>
      </c>
      <c r="O373">
        <v>24</v>
      </c>
      <c r="P373">
        <v>211</v>
      </c>
      <c r="Q373">
        <v>86</v>
      </c>
      <c r="R373">
        <v>9</v>
      </c>
      <c r="S373">
        <v>3</v>
      </c>
      <c r="T373">
        <v>40</v>
      </c>
      <c r="U373">
        <v>0</v>
      </c>
      <c r="V373">
        <v>6</v>
      </c>
      <c r="W373">
        <v>3</v>
      </c>
      <c r="X373">
        <v>13</v>
      </c>
      <c r="Y373">
        <v>136</v>
      </c>
      <c r="Z373">
        <v>6</v>
      </c>
      <c r="AA373">
        <v>0.504</v>
      </c>
      <c r="AB373">
        <v>0.34300000000000003</v>
      </c>
      <c r="AC373">
        <v>0.84699999999999998</v>
      </c>
      <c r="AD373">
        <v>29</v>
      </c>
      <c r="AE373">
        <v>0.27300000000000002</v>
      </c>
      <c r="AF373">
        <v>0</v>
      </c>
      <c r="AG373">
        <f>(표1[[#This Row],[TB]]-표1[[#This Row],[H]])/표1[[#This Row],[AB]]</f>
        <v>0.24105011933174225</v>
      </c>
      <c r="AH373">
        <f>(표1[[#This Row],[TB]]-표1[[#This Row],[H]]+표1[[#This Row],[BB]]+표1[[#This Row],[SB]]-표1[[#This Row],[CS]])/표1[[#This Row],[AB]]</f>
        <v>0.34367541766109783</v>
      </c>
      <c r="AI373">
        <f>(표1[[#This Row],[TB]]+표1[[#This Row],[BB]]+표1[[#This Row],[HBP]]+표1[[#This Row],[SB]]-표1[[#This Row],[CS]])/(표1[[#This Row],[AB]]-표1[[#This Row],[H]]+표1[[#This Row],[CS]]+표1[[#This Row],[GDP]])</f>
        <v>0.839622641509434</v>
      </c>
      <c r="AJ37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74.49909090909091</v>
      </c>
      <c r="AK373">
        <f>표1[[#This Row],[RC]]/((표1[[#This Row],[AB]]-표1[[#This Row],[H]]+표1[[#This Row],[SAC]]+표1[[#This Row],[SF]]+표1[[#This Row],[CS]]+표1[[#This Row],[GDP]])/27)</f>
        <v>6.0953801652892565</v>
      </c>
      <c r="AL37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0.36467789473684209</v>
      </c>
      <c r="AM37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72.531999999999996</v>
      </c>
    </row>
    <row r="374" spans="1:39" x14ac:dyDescent="0.3">
      <c r="A374" t="str">
        <f>_xlfn.CONCAT(표1[[#This Row],[Year]],표1[[#This Row],[Player]])</f>
        <v>2010박경완</v>
      </c>
      <c r="B374">
        <v>2010</v>
      </c>
      <c r="C374">
        <v>38</v>
      </c>
      <c r="D374" t="s">
        <v>46</v>
      </c>
      <c r="E374" t="s">
        <v>8</v>
      </c>
      <c r="F374">
        <v>0.26200000000000001</v>
      </c>
      <c r="G374">
        <v>129</v>
      </c>
      <c r="H374">
        <v>472</v>
      </c>
      <c r="I374">
        <v>381</v>
      </c>
      <c r="J374">
        <v>51</v>
      </c>
      <c r="K374">
        <v>100</v>
      </c>
      <c r="L374">
        <f>표1[[#This Row],[H]]-표1[[#This Row],[2B]]-표1[[#This Row],[3B]]-표1[[#This Row],[HR]]</f>
        <v>66</v>
      </c>
      <c r="M374">
        <v>20</v>
      </c>
      <c r="N374">
        <v>0</v>
      </c>
      <c r="O374">
        <v>14</v>
      </c>
      <c r="P374">
        <v>162</v>
      </c>
      <c r="Q374">
        <v>67</v>
      </c>
      <c r="R374">
        <v>15</v>
      </c>
      <c r="S374">
        <v>3</v>
      </c>
      <c r="T374">
        <v>46</v>
      </c>
      <c r="U374">
        <v>2</v>
      </c>
      <c r="V374">
        <v>1</v>
      </c>
      <c r="W374">
        <v>1</v>
      </c>
      <c r="X374">
        <v>27</v>
      </c>
      <c r="Y374">
        <v>88</v>
      </c>
      <c r="Z374">
        <v>11</v>
      </c>
      <c r="AA374">
        <v>0.42499999999999999</v>
      </c>
      <c r="AB374">
        <v>0.379</v>
      </c>
      <c r="AC374">
        <v>0.80400000000000005</v>
      </c>
      <c r="AD374">
        <v>23</v>
      </c>
      <c r="AE374">
        <v>0.27900000000000003</v>
      </c>
      <c r="AF374">
        <v>0</v>
      </c>
      <c r="AG374">
        <f>(표1[[#This Row],[TB]]-표1[[#This Row],[H]])/표1[[#This Row],[AB]]</f>
        <v>0.16272965879265092</v>
      </c>
      <c r="AH374">
        <f>(표1[[#This Row],[TB]]-표1[[#This Row],[H]]+표1[[#This Row],[BB]]+표1[[#This Row],[SB]]-표1[[#This Row],[CS]])/표1[[#This Row],[AB]]</f>
        <v>0.28346456692913385</v>
      </c>
      <c r="AI374">
        <f>(표1[[#This Row],[TB]]+표1[[#This Row],[BB]]+표1[[#This Row],[HBP]]+표1[[#This Row],[SB]]-표1[[#This Row],[CS]])/(표1[[#This Row],[AB]]-표1[[#This Row],[H]]+표1[[#This Row],[CS]]+표1[[#This Row],[GDP]])</f>
        <v>0.80204778156996592</v>
      </c>
      <c r="AJ37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64.925296610169497</v>
      </c>
      <c r="AK374">
        <f>표1[[#This Row],[RC]]/((표1[[#This Row],[AB]]-표1[[#This Row],[H]]+표1[[#This Row],[SAC]]+표1[[#This Row],[SF]]+표1[[#This Row],[CS]]+표1[[#This Row],[GDP]])/27)</f>
        <v>5.6366013134230748</v>
      </c>
      <c r="AL37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0.3564703296703296</v>
      </c>
      <c r="AM37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63.706000000000017</v>
      </c>
    </row>
    <row r="375" spans="1:39" x14ac:dyDescent="0.3">
      <c r="A375" t="str">
        <f>_xlfn.CONCAT(표1[[#This Row],[Year]],표1[[#This Row],[Player]])</f>
        <v>2010이대형</v>
      </c>
      <c r="B375">
        <v>2010</v>
      </c>
      <c r="C375">
        <v>39</v>
      </c>
      <c r="D375" t="s">
        <v>87</v>
      </c>
      <c r="E375" t="s">
        <v>36</v>
      </c>
      <c r="F375">
        <v>0.26100000000000001</v>
      </c>
      <c r="G375">
        <v>130</v>
      </c>
      <c r="H375">
        <v>568</v>
      </c>
      <c r="I375">
        <v>494</v>
      </c>
      <c r="J375">
        <v>73</v>
      </c>
      <c r="K375">
        <v>129</v>
      </c>
      <c r="L375">
        <f>표1[[#This Row],[H]]-표1[[#This Row],[2B]]-표1[[#This Row],[3B]]-표1[[#This Row],[HR]]</f>
        <v>112</v>
      </c>
      <c r="M375">
        <v>14</v>
      </c>
      <c r="N375">
        <v>2</v>
      </c>
      <c r="O375">
        <v>1</v>
      </c>
      <c r="P375">
        <v>150</v>
      </c>
      <c r="Q375">
        <v>43</v>
      </c>
      <c r="R375">
        <v>13</v>
      </c>
      <c r="S375">
        <v>1</v>
      </c>
      <c r="T375">
        <v>58</v>
      </c>
      <c r="U375">
        <v>0</v>
      </c>
      <c r="V375">
        <v>66</v>
      </c>
      <c r="W375">
        <v>21</v>
      </c>
      <c r="X375">
        <v>2</v>
      </c>
      <c r="Y375">
        <v>76</v>
      </c>
      <c r="Z375">
        <v>3</v>
      </c>
      <c r="AA375">
        <v>0.30399999999999999</v>
      </c>
      <c r="AB375">
        <v>0.34100000000000003</v>
      </c>
      <c r="AC375">
        <v>0.64500000000000002</v>
      </c>
      <c r="AD375">
        <v>34</v>
      </c>
      <c r="AE375">
        <v>0.308</v>
      </c>
      <c r="AF375">
        <v>0.25</v>
      </c>
      <c r="AG375">
        <f>(표1[[#This Row],[TB]]-표1[[#This Row],[H]])/표1[[#This Row],[AB]]</f>
        <v>4.2510121457489877E-2</v>
      </c>
      <c r="AH375">
        <f>(표1[[#This Row],[TB]]-표1[[#This Row],[H]]+표1[[#This Row],[BB]]+표1[[#This Row],[SB]]-표1[[#This Row],[CS]])/표1[[#This Row],[AB]]</f>
        <v>0.25101214574898784</v>
      </c>
      <c r="AI375">
        <f>(표1[[#This Row],[TB]]+표1[[#This Row],[BB]]+표1[[#This Row],[HBP]]+표1[[#This Row],[SB]]-표1[[#This Row],[CS]])/(표1[[#This Row],[AB]]-표1[[#This Row],[H]]+표1[[#This Row],[CS]]+표1[[#This Row],[GDP]])</f>
        <v>0.65552699228791778</v>
      </c>
      <c r="AJ37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60.190140845070424</v>
      </c>
      <c r="AK375">
        <f>표1[[#This Row],[RC]]/((표1[[#This Row],[AB]]-표1[[#This Row],[H]]+표1[[#This Row],[SAC]]+표1[[#This Row],[SF]]+표1[[#This Row],[CS]]+표1[[#This Row],[GDP]])/27)</f>
        <v>4.0325900814315174</v>
      </c>
      <c r="AL37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0.29436396396396391</v>
      </c>
      <c r="AM37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61.482000000000006</v>
      </c>
    </row>
    <row r="376" spans="1:39" x14ac:dyDescent="0.3">
      <c r="A376" t="str">
        <f>_xlfn.CONCAT(표1[[#This Row],[Year]],표1[[#This Row],[Player]])</f>
        <v>2010최진행</v>
      </c>
      <c r="B376">
        <v>2010</v>
      </c>
      <c r="C376">
        <v>40</v>
      </c>
      <c r="D376" t="s">
        <v>133</v>
      </c>
      <c r="E376" t="s">
        <v>11</v>
      </c>
      <c r="F376">
        <v>0.26100000000000001</v>
      </c>
      <c r="G376">
        <v>129</v>
      </c>
      <c r="H376">
        <v>524</v>
      </c>
      <c r="I376">
        <v>464</v>
      </c>
      <c r="J376">
        <v>66</v>
      </c>
      <c r="K376">
        <v>121</v>
      </c>
      <c r="L376">
        <f>표1[[#This Row],[H]]-표1[[#This Row],[2B]]-표1[[#This Row],[3B]]-표1[[#This Row],[HR]]</f>
        <v>67</v>
      </c>
      <c r="M376">
        <v>22</v>
      </c>
      <c r="N376">
        <v>0</v>
      </c>
      <c r="O376">
        <v>32</v>
      </c>
      <c r="P376">
        <v>239</v>
      </c>
      <c r="Q376">
        <v>92</v>
      </c>
      <c r="R376">
        <v>2</v>
      </c>
      <c r="S376">
        <v>2</v>
      </c>
      <c r="T376">
        <v>47</v>
      </c>
      <c r="U376">
        <v>1</v>
      </c>
      <c r="V376">
        <v>5</v>
      </c>
      <c r="W376">
        <v>4</v>
      </c>
      <c r="X376">
        <v>9</v>
      </c>
      <c r="Y376">
        <v>131</v>
      </c>
      <c r="Z376">
        <v>15</v>
      </c>
      <c r="AA376">
        <v>0.51500000000000001</v>
      </c>
      <c r="AB376">
        <v>0.33900000000000002</v>
      </c>
      <c r="AC376">
        <v>0.85399999999999998</v>
      </c>
      <c r="AD376">
        <v>31</v>
      </c>
      <c r="AE376">
        <v>0.30099999999999999</v>
      </c>
      <c r="AF376">
        <v>0</v>
      </c>
      <c r="AG376">
        <f>(표1[[#This Row],[TB]]-표1[[#This Row],[H]])/표1[[#This Row],[AB]]</f>
        <v>0.25431034482758619</v>
      </c>
      <c r="AH376">
        <f>(표1[[#This Row],[TB]]-표1[[#This Row],[H]]+표1[[#This Row],[BB]]+표1[[#This Row],[SB]]-표1[[#This Row],[CS]])/표1[[#This Row],[AB]]</f>
        <v>0.35775862068965519</v>
      </c>
      <c r="AI376">
        <f>(표1[[#This Row],[TB]]+표1[[#This Row],[BB]]+표1[[#This Row],[HBP]]+표1[[#This Row],[SB]]-표1[[#This Row],[CS]])/(표1[[#This Row],[AB]]-표1[[#This Row],[H]]+표1[[#This Row],[CS]]+표1[[#This Row],[GDP]])</f>
        <v>0.81767955801104975</v>
      </c>
      <c r="AJ37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77.787862595419853</v>
      </c>
      <c r="AK376">
        <f>표1[[#This Row],[RC]]/((표1[[#This Row],[AB]]-표1[[#This Row],[H]]+표1[[#This Row],[SAC]]+표1[[#This Row],[SF]]+표1[[#This Row],[CS]]+표1[[#This Row],[GDP]])/27)</f>
        <v>5.7384488799899893</v>
      </c>
      <c r="AL37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0.36664491362763912</v>
      </c>
      <c r="AM37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77.341999999999999</v>
      </c>
    </row>
    <row r="377" spans="1:39" x14ac:dyDescent="0.3">
      <c r="A377" t="str">
        <f>_xlfn.CONCAT(표1[[#This Row],[Year]],표1[[#This Row],[Player]])</f>
        <v>2010김민우</v>
      </c>
      <c r="B377">
        <v>2010</v>
      </c>
      <c r="C377">
        <v>41</v>
      </c>
      <c r="D377" t="s">
        <v>134</v>
      </c>
      <c r="E377" t="s">
        <v>125</v>
      </c>
      <c r="F377">
        <v>0.25700000000000001</v>
      </c>
      <c r="G377">
        <v>128</v>
      </c>
      <c r="H377">
        <v>536</v>
      </c>
      <c r="I377">
        <v>447</v>
      </c>
      <c r="J377">
        <v>64</v>
      </c>
      <c r="K377">
        <v>115</v>
      </c>
      <c r="L377">
        <f>표1[[#This Row],[H]]-표1[[#This Row],[2B]]-표1[[#This Row],[3B]]-표1[[#This Row],[HR]]</f>
        <v>83</v>
      </c>
      <c r="M377">
        <v>20</v>
      </c>
      <c r="N377">
        <v>3</v>
      </c>
      <c r="O377">
        <v>9</v>
      </c>
      <c r="P377">
        <v>168</v>
      </c>
      <c r="Q377">
        <v>44</v>
      </c>
      <c r="R377">
        <v>16</v>
      </c>
      <c r="S377">
        <v>3</v>
      </c>
      <c r="T377">
        <v>61</v>
      </c>
      <c r="U377">
        <v>0</v>
      </c>
      <c r="V377">
        <v>28</v>
      </c>
      <c r="W377">
        <v>6</v>
      </c>
      <c r="X377">
        <v>9</v>
      </c>
      <c r="Y377">
        <v>85</v>
      </c>
      <c r="Z377">
        <v>11</v>
      </c>
      <c r="AA377">
        <v>0.376</v>
      </c>
      <c r="AB377">
        <v>0.35599999999999998</v>
      </c>
      <c r="AC377">
        <v>0.73199999999999998</v>
      </c>
      <c r="AD377">
        <v>27</v>
      </c>
      <c r="AE377">
        <v>0.23599999999999999</v>
      </c>
      <c r="AF377">
        <v>1</v>
      </c>
      <c r="AG377">
        <f>(표1[[#This Row],[TB]]-표1[[#This Row],[H]])/표1[[#This Row],[AB]]</f>
        <v>0.11856823266219239</v>
      </c>
      <c r="AH377">
        <f>(표1[[#This Row],[TB]]-표1[[#This Row],[H]]+표1[[#This Row],[BB]]+표1[[#This Row],[SB]]-표1[[#This Row],[CS]])/표1[[#This Row],[AB]]</f>
        <v>0.30425055928411632</v>
      </c>
      <c r="AI377">
        <f>(표1[[#This Row],[TB]]+표1[[#This Row],[BB]]+표1[[#This Row],[HBP]]+표1[[#This Row],[SB]]-표1[[#This Row],[CS]])/(표1[[#This Row],[AB]]-표1[[#This Row],[H]]+표1[[#This Row],[CS]]+표1[[#This Row],[GDP]])</f>
        <v>0.74498567335243548</v>
      </c>
      <c r="AJ37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66.021492537313421</v>
      </c>
      <c r="AK377">
        <f>표1[[#This Row],[RC]]/((표1[[#This Row],[AB]]-표1[[#This Row],[H]]+표1[[#This Row],[SAC]]+표1[[#This Row],[SF]]+표1[[#This Row],[CS]]+표1[[#This Row],[GDP]])/27)</f>
        <v>4.8439682024659305</v>
      </c>
      <c r="AL37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0.32781153846153838</v>
      </c>
      <c r="AM37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66.019999999999982</v>
      </c>
    </row>
    <row r="378" spans="1:39" x14ac:dyDescent="0.3">
      <c r="A378" t="str">
        <f>_xlfn.CONCAT(표1[[#This Row],[Year]],표1[[#This Row],[Player]])</f>
        <v>2010가르시아</v>
      </c>
      <c r="B378">
        <v>2010</v>
      </c>
      <c r="C378">
        <v>42</v>
      </c>
      <c r="D378" t="s">
        <v>103</v>
      </c>
      <c r="E378" t="s">
        <v>17</v>
      </c>
      <c r="F378">
        <v>0.252</v>
      </c>
      <c r="G378">
        <v>118</v>
      </c>
      <c r="H378">
        <v>485</v>
      </c>
      <c r="I378">
        <v>429</v>
      </c>
      <c r="J378">
        <v>73</v>
      </c>
      <c r="K378">
        <v>108</v>
      </c>
      <c r="L378">
        <f>표1[[#This Row],[H]]-표1[[#This Row],[2B]]-표1[[#This Row],[3B]]-표1[[#This Row],[HR]]</f>
        <v>65</v>
      </c>
      <c r="M378">
        <v>16</v>
      </c>
      <c r="N378">
        <v>1</v>
      </c>
      <c r="O378">
        <v>26</v>
      </c>
      <c r="P378">
        <v>204</v>
      </c>
      <c r="Q378">
        <v>83</v>
      </c>
      <c r="R378">
        <v>0</v>
      </c>
      <c r="S378">
        <v>5</v>
      </c>
      <c r="T378">
        <v>49</v>
      </c>
      <c r="U378">
        <v>1</v>
      </c>
      <c r="V378">
        <v>3</v>
      </c>
      <c r="W378">
        <v>0</v>
      </c>
      <c r="X378">
        <v>2</v>
      </c>
      <c r="Y378">
        <v>123</v>
      </c>
      <c r="Z378">
        <v>4</v>
      </c>
      <c r="AA378">
        <v>0.47599999999999998</v>
      </c>
      <c r="AB378">
        <v>0.32800000000000001</v>
      </c>
      <c r="AC378">
        <v>0.80400000000000005</v>
      </c>
      <c r="AD378">
        <v>31</v>
      </c>
      <c r="AE378">
        <v>0.248</v>
      </c>
      <c r="AF378">
        <v>0</v>
      </c>
      <c r="AG378">
        <f>(표1[[#This Row],[TB]]-표1[[#This Row],[H]])/표1[[#This Row],[AB]]</f>
        <v>0.22377622377622378</v>
      </c>
      <c r="AH378">
        <f>(표1[[#This Row],[TB]]-표1[[#This Row],[H]]+표1[[#This Row],[BB]]+표1[[#This Row],[SB]]-표1[[#This Row],[CS]])/표1[[#This Row],[AB]]</f>
        <v>0.34498834498834496</v>
      </c>
      <c r="AI378">
        <f>(표1[[#This Row],[TB]]+표1[[#This Row],[BB]]+표1[[#This Row],[HBP]]+표1[[#This Row],[SB]]-표1[[#This Row],[CS]])/(표1[[#This Row],[AB]]-표1[[#This Row],[H]]+표1[[#This Row],[CS]]+표1[[#This Row],[GDP]])</f>
        <v>0.79384615384615387</v>
      </c>
      <c r="AJ37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70.680000000000007</v>
      </c>
      <c r="AK378">
        <f>표1[[#This Row],[RC]]/((표1[[#This Row],[AB]]-표1[[#This Row],[H]]+표1[[#This Row],[SAC]]+표1[[#This Row],[SF]]+표1[[#This Row],[CS]]+표1[[#This Row],[GDP]])/27)</f>
        <v>5.7829090909090919</v>
      </c>
      <c r="AL37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0.34563016528925616</v>
      </c>
      <c r="AM37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70.786000000000001</v>
      </c>
    </row>
    <row r="379" spans="1:39" x14ac:dyDescent="0.3">
      <c r="A379" t="str">
        <f>_xlfn.CONCAT(표1[[#This Row],[Year]],표1[[#This Row],[Player]])</f>
        <v>2010오지환</v>
      </c>
      <c r="B379">
        <v>2010</v>
      </c>
      <c r="C379">
        <v>43</v>
      </c>
      <c r="D379" t="s">
        <v>135</v>
      </c>
      <c r="E379" t="s">
        <v>36</v>
      </c>
      <c r="F379">
        <v>0.24099999999999999</v>
      </c>
      <c r="G379">
        <v>125</v>
      </c>
      <c r="H379">
        <v>417</v>
      </c>
      <c r="I379">
        <v>352</v>
      </c>
      <c r="J379">
        <v>59</v>
      </c>
      <c r="K379">
        <v>85</v>
      </c>
      <c r="L379">
        <f>표1[[#This Row],[H]]-표1[[#This Row],[2B]]-표1[[#This Row],[3B]]-표1[[#This Row],[HR]]</f>
        <v>53</v>
      </c>
      <c r="M379">
        <v>13</v>
      </c>
      <c r="N379">
        <v>6</v>
      </c>
      <c r="O379">
        <v>13</v>
      </c>
      <c r="P379">
        <v>149</v>
      </c>
      <c r="Q379">
        <v>61</v>
      </c>
      <c r="R379">
        <v>7</v>
      </c>
      <c r="S379">
        <v>7</v>
      </c>
      <c r="T379">
        <v>44</v>
      </c>
      <c r="U379">
        <v>0</v>
      </c>
      <c r="V379">
        <v>13</v>
      </c>
      <c r="W379">
        <v>2</v>
      </c>
      <c r="X379">
        <v>7</v>
      </c>
      <c r="Y379">
        <v>137</v>
      </c>
      <c r="Z379">
        <v>1</v>
      </c>
      <c r="AA379">
        <v>0.42299999999999999</v>
      </c>
      <c r="AB379">
        <v>0.33200000000000002</v>
      </c>
      <c r="AC379">
        <v>0.755</v>
      </c>
      <c r="AD379">
        <v>17</v>
      </c>
      <c r="AE379">
        <v>0.26700000000000002</v>
      </c>
      <c r="AF379">
        <v>0.42899999999999999</v>
      </c>
      <c r="AG379">
        <f>(표1[[#This Row],[TB]]-표1[[#This Row],[H]])/표1[[#This Row],[AB]]</f>
        <v>0.18181818181818182</v>
      </c>
      <c r="AH379">
        <f>(표1[[#This Row],[TB]]-표1[[#This Row],[H]]+표1[[#This Row],[BB]]+표1[[#This Row],[SB]]-표1[[#This Row],[CS]])/표1[[#This Row],[AB]]</f>
        <v>0.33806818181818182</v>
      </c>
      <c r="AI379">
        <f>(표1[[#This Row],[TB]]+표1[[#This Row],[BB]]+표1[[#This Row],[HBP]]+표1[[#This Row],[SB]]-표1[[#This Row],[CS]])/(표1[[#This Row],[AB]]-표1[[#This Row],[H]]+표1[[#This Row],[CS]]+표1[[#This Row],[GDP]])</f>
        <v>0.78148148148148144</v>
      </c>
      <c r="AJ37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56.229976019184647</v>
      </c>
      <c r="AK379">
        <f>표1[[#This Row],[RC]]/((표1[[#This Row],[AB]]-표1[[#This Row],[H]]+표1[[#This Row],[SAC]]+표1[[#This Row],[SF]]+표1[[#This Row],[CS]]+표1[[#This Row],[GDP]])/27)</f>
        <v>5.3458075792886808</v>
      </c>
      <c r="AL37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0.32917804878048779</v>
      </c>
      <c r="AM37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57.233999999999995</v>
      </c>
    </row>
    <row r="380" spans="1:39" x14ac:dyDescent="0.3">
      <c r="A380" t="str">
        <f>_xlfn.CONCAT(표1[[#This Row],[Year]],표1[[#This Row],[Player]])</f>
        <v>2010김원섭</v>
      </c>
      <c r="B380">
        <v>2010</v>
      </c>
      <c r="C380">
        <v>44</v>
      </c>
      <c r="D380" t="s">
        <v>100</v>
      </c>
      <c r="E380" t="s">
        <v>13</v>
      </c>
      <c r="F380">
        <v>0.23799999999999999</v>
      </c>
      <c r="G380">
        <v>111</v>
      </c>
      <c r="H380">
        <v>428</v>
      </c>
      <c r="I380">
        <v>353</v>
      </c>
      <c r="J380">
        <v>43</v>
      </c>
      <c r="K380">
        <v>84</v>
      </c>
      <c r="L380">
        <f>표1[[#This Row],[H]]-표1[[#This Row],[2B]]-표1[[#This Row],[3B]]-표1[[#This Row],[HR]]</f>
        <v>60</v>
      </c>
      <c r="M380">
        <v>16</v>
      </c>
      <c r="N380">
        <v>3</v>
      </c>
      <c r="O380">
        <v>5</v>
      </c>
      <c r="P380">
        <v>121</v>
      </c>
      <c r="Q380">
        <v>28</v>
      </c>
      <c r="R380">
        <v>16</v>
      </c>
      <c r="S380">
        <v>1</v>
      </c>
      <c r="T380">
        <v>56</v>
      </c>
      <c r="U380">
        <v>0</v>
      </c>
      <c r="V380">
        <v>15</v>
      </c>
      <c r="W380">
        <v>6</v>
      </c>
      <c r="X380">
        <v>2</v>
      </c>
      <c r="Y380">
        <v>63</v>
      </c>
      <c r="Z380">
        <v>5</v>
      </c>
      <c r="AA380">
        <v>0.34300000000000003</v>
      </c>
      <c r="AB380">
        <v>0.34499999999999997</v>
      </c>
      <c r="AC380">
        <v>0.68799999999999994</v>
      </c>
      <c r="AD380">
        <v>22</v>
      </c>
      <c r="AE380">
        <v>0.19400000000000001</v>
      </c>
      <c r="AF380">
        <v>0.222</v>
      </c>
      <c r="AG380">
        <f>(표1[[#This Row],[TB]]-표1[[#This Row],[H]])/표1[[#This Row],[AB]]</f>
        <v>0.10481586402266289</v>
      </c>
      <c r="AH380">
        <f>(표1[[#This Row],[TB]]-표1[[#This Row],[H]]+표1[[#This Row],[BB]]+표1[[#This Row],[SB]]-표1[[#This Row],[CS]])/표1[[#This Row],[AB]]</f>
        <v>0.28895184135977336</v>
      </c>
      <c r="AI380">
        <f>(표1[[#This Row],[TB]]+표1[[#This Row],[BB]]+표1[[#This Row],[HBP]]+표1[[#This Row],[SB]]-표1[[#This Row],[CS]])/(표1[[#This Row],[AB]]-표1[[#This Row],[H]]+표1[[#This Row],[CS]]+표1[[#This Row],[GDP]])</f>
        <v>0.67142857142857137</v>
      </c>
      <c r="AJ38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46.743738317757014</v>
      </c>
      <c r="AK380">
        <f>표1[[#This Row],[RC]]/((표1[[#This Row],[AB]]-표1[[#This Row],[H]]+표1[[#This Row],[SAC]]+표1[[#This Row],[SF]]+표1[[#This Row],[CS]]+표1[[#This Row],[GDP]])/27)</f>
        <v>4.2494307561597289</v>
      </c>
      <c r="AL38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0.31155582524271841</v>
      </c>
      <c r="AM38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46.785999999999987</v>
      </c>
    </row>
    <row r="381" spans="1:39" x14ac:dyDescent="0.3">
      <c r="A381" t="str">
        <f>_xlfn.CONCAT(표1[[#This Row],[Year]],표1[[#This Row],[Player]])</f>
        <v>2010이대수</v>
      </c>
      <c r="B381">
        <v>2010</v>
      </c>
      <c r="C381">
        <v>45</v>
      </c>
      <c r="D381" t="s">
        <v>82</v>
      </c>
      <c r="E381" t="s">
        <v>11</v>
      </c>
      <c r="F381">
        <v>0.23200000000000001</v>
      </c>
      <c r="G381">
        <v>125</v>
      </c>
      <c r="H381">
        <v>416</v>
      </c>
      <c r="I381">
        <v>375</v>
      </c>
      <c r="J381">
        <v>33</v>
      </c>
      <c r="K381">
        <v>87</v>
      </c>
      <c r="L381">
        <f>표1[[#This Row],[H]]-표1[[#This Row],[2B]]-표1[[#This Row],[3B]]-표1[[#This Row],[HR]]</f>
        <v>66</v>
      </c>
      <c r="M381">
        <v>13</v>
      </c>
      <c r="N381">
        <v>1</v>
      </c>
      <c r="O381">
        <v>7</v>
      </c>
      <c r="P381">
        <v>123</v>
      </c>
      <c r="Q381">
        <v>37</v>
      </c>
      <c r="R381">
        <v>6</v>
      </c>
      <c r="S381">
        <v>3</v>
      </c>
      <c r="T381">
        <v>26</v>
      </c>
      <c r="U381">
        <v>0</v>
      </c>
      <c r="V381">
        <v>2</v>
      </c>
      <c r="W381">
        <v>4</v>
      </c>
      <c r="X381">
        <v>6</v>
      </c>
      <c r="Y381">
        <v>57</v>
      </c>
      <c r="Z381">
        <v>4</v>
      </c>
      <c r="AA381">
        <v>0.32800000000000001</v>
      </c>
      <c r="AB381">
        <v>0.28999999999999998</v>
      </c>
      <c r="AC381">
        <v>0.61799999999999999</v>
      </c>
      <c r="AD381">
        <v>22</v>
      </c>
      <c r="AE381">
        <v>0.28000000000000003</v>
      </c>
      <c r="AF381">
        <v>0</v>
      </c>
      <c r="AG381">
        <f>(표1[[#This Row],[TB]]-표1[[#This Row],[H]])/표1[[#This Row],[AB]]</f>
        <v>9.6000000000000002E-2</v>
      </c>
      <c r="AH381">
        <f>(표1[[#This Row],[TB]]-표1[[#This Row],[H]]+표1[[#This Row],[BB]]+표1[[#This Row],[SB]]-표1[[#This Row],[CS]])/표1[[#This Row],[AB]]</f>
        <v>0.16</v>
      </c>
      <c r="AI381">
        <f>(표1[[#This Row],[TB]]+표1[[#This Row],[BB]]+표1[[#This Row],[HBP]]+표1[[#This Row],[SB]]-표1[[#This Row],[CS]])/(표1[[#This Row],[AB]]-표1[[#This Row],[H]]+표1[[#This Row],[CS]]+표1[[#This Row],[GDP]])</f>
        <v>0.51689189189189189</v>
      </c>
      <c r="AJ38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36.565961538461536</v>
      </c>
      <c r="AK381">
        <f>표1[[#This Row],[RC]]/((표1[[#This Row],[AB]]-표1[[#This Row],[H]]+표1[[#This Row],[SAC]]+표1[[#This Row],[SF]]+표1[[#This Row],[CS]]+표1[[#This Row],[GDP]])/27)</f>
        <v>3.2369867591424968</v>
      </c>
      <c r="AL38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0.27556585365853659</v>
      </c>
      <c r="AM38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36.934000000000005</v>
      </c>
    </row>
    <row r="382" spans="1:39" x14ac:dyDescent="0.3">
      <c r="A382" t="str">
        <f>_xlfn.CONCAT(표1[[#This Row],[Year]],표1[[#This Row],[Player]])</f>
        <v>2011이대호</v>
      </c>
      <c r="B382">
        <v>2011</v>
      </c>
      <c r="C382">
        <v>1</v>
      </c>
      <c r="D382" t="s">
        <v>64</v>
      </c>
      <c r="E382" t="s">
        <v>17</v>
      </c>
      <c r="F382">
        <v>0.35699999999999998</v>
      </c>
      <c r="G382">
        <v>133</v>
      </c>
      <c r="H382">
        <v>570</v>
      </c>
      <c r="I382">
        <v>493</v>
      </c>
      <c r="J382">
        <v>76</v>
      </c>
      <c r="K382">
        <v>176</v>
      </c>
      <c r="L382">
        <f>표1[[#This Row],[H]]-표1[[#This Row],[2B]]-표1[[#This Row],[3B]]-표1[[#This Row],[HR]]</f>
        <v>122</v>
      </c>
      <c r="M382">
        <v>26</v>
      </c>
      <c r="N382">
        <v>1</v>
      </c>
      <c r="O382">
        <v>27</v>
      </c>
      <c r="P382">
        <v>285</v>
      </c>
      <c r="Q382">
        <v>113</v>
      </c>
      <c r="R382">
        <v>0</v>
      </c>
      <c r="S382">
        <v>6</v>
      </c>
      <c r="T382">
        <v>63</v>
      </c>
      <c r="U382">
        <v>8</v>
      </c>
      <c r="V382">
        <v>2</v>
      </c>
      <c r="W382">
        <v>0</v>
      </c>
      <c r="X382">
        <v>8</v>
      </c>
      <c r="Y382">
        <v>60</v>
      </c>
      <c r="Z382">
        <v>22</v>
      </c>
      <c r="AA382">
        <v>0.57799999999999996</v>
      </c>
      <c r="AB382">
        <v>0.433</v>
      </c>
      <c r="AC382">
        <v>1.0109999999999999</v>
      </c>
      <c r="AD382">
        <v>58</v>
      </c>
      <c r="AE382">
        <v>0.38500000000000001</v>
      </c>
      <c r="AF382">
        <v>0</v>
      </c>
      <c r="AG382">
        <f>(표1[[#This Row],[TB]]-표1[[#This Row],[H]])/표1[[#This Row],[AB]]</f>
        <v>0.22109533468559839</v>
      </c>
      <c r="AH382">
        <f>(표1[[#This Row],[TB]]-표1[[#This Row],[H]]+표1[[#This Row],[BB]]+표1[[#This Row],[SB]]-표1[[#This Row],[CS]])/표1[[#This Row],[AB]]</f>
        <v>0.35294117647058826</v>
      </c>
      <c r="AI382">
        <f>(표1[[#This Row],[TB]]+표1[[#This Row],[BB]]+표1[[#This Row],[HBP]]+표1[[#This Row],[SB]]-표1[[#This Row],[CS]])/(표1[[#This Row],[AB]]-표1[[#This Row],[H]]+표1[[#This Row],[CS]]+표1[[#This Row],[GDP]])</f>
        <v>1.056047197640118</v>
      </c>
      <c r="AJ38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120.6078947368421</v>
      </c>
      <c r="AK382">
        <f>표1[[#This Row],[RC]]/((표1[[#This Row],[AB]]-표1[[#This Row],[H]]+표1[[#This Row],[SAC]]+표1[[#This Row],[SF]]+표1[[#This Row],[CS]]+표1[[#This Row],[GDP]])/27)</f>
        <v>9.4388787185354683</v>
      </c>
      <c r="AL38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0.42966192170818501</v>
      </c>
      <c r="AM38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108.49000000000001</v>
      </c>
    </row>
    <row r="383" spans="1:39" x14ac:dyDescent="0.3">
      <c r="A383" t="str">
        <f>_xlfn.CONCAT(표1[[#This Row],[Year]],표1[[#This Row],[Player]])</f>
        <v>2011최형우</v>
      </c>
      <c r="B383">
        <v>2011</v>
      </c>
      <c r="C383">
        <v>2</v>
      </c>
      <c r="D383" t="s">
        <v>105</v>
      </c>
      <c r="E383" t="s">
        <v>6</v>
      </c>
      <c r="F383">
        <v>0.34</v>
      </c>
      <c r="G383">
        <v>133</v>
      </c>
      <c r="H383">
        <v>571</v>
      </c>
      <c r="I383">
        <v>480</v>
      </c>
      <c r="J383">
        <v>80</v>
      </c>
      <c r="K383">
        <v>163</v>
      </c>
      <c r="L383">
        <f>표1[[#This Row],[H]]-표1[[#This Row],[2B]]-표1[[#This Row],[3B]]-표1[[#This Row],[HR]]</f>
        <v>93</v>
      </c>
      <c r="M383">
        <v>37</v>
      </c>
      <c r="N383">
        <v>3</v>
      </c>
      <c r="O383">
        <v>30</v>
      </c>
      <c r="P383">
        <v>296</v>
      </c>
      <c r="Q383">
        <v>118</v>
      </c>
      <c r="R383">
        <v>0</v>
      </c>
      <c r="S383">
        <v>10</v>
      </c>
      <c r="T383">
        <v>76</v>
      </c>
      <c r="U383">
        <v>15</v>
      </c>
      <c r="V383">
        <v>4</v>
      </c>
      <c r="W383">
        <v>3</v>
      </c>
      <c r="X383">
        <v>5</v>
      </c>
      <c r="Y383">
        <v>88</v>
      </c>
      <c r="Z383">
        <v>8</v>
      </c>
      <c r="AA383">
        <v>0.61699999999999999</v>
      </c>
      <c r="AB383">
        <v>0.42699999999999999</v>
      </c>
      <c r="AC383">
        <v>1.044</v>
      </c>
      <c r="AD383">
        <v>48</v>
      </c>
      <c r="AE383">
        <v>0.35</v>
      </c>
      <c r="AF383">
        <v>0</v>
      </c>
      <c r="AG383">
        <f>(표1[[#This Row],[TB]]-표1[[#This Row],[H]])/표1[[#This Row],[AB]]</f>
        <v>0.27708333333333335</v>
      </c>
      <c r="AH383">
        <f>(표1[[#This Row],[TB]]-표1[[#This Row],[H]]+표1[[#This Row],[BB]]+표1[[#This Row],[SB]]-표1[[#This Row],[CS]])/표1[[#This Row],[AB]]</f>
        <v>0.4375</v>
      </c>
      <c r="AI383">
        <f>(표1[[#This Row],[TB]]+표1[[#This Row],[BB]]+표1[[#This Row],[HBP]]+표1[[#This Row],[SB]]-표1[[#This Row],[CS]])/(표1[[#This Row],[AB]]-표1[[#This Row],[H]]+표1[[#This Row],[CS]]+표1[[#This Row],[GDP]])</f>
        <v>1.1524390243902438</v>
      </c>
      <c r="AJ38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130.75747810858144</v>
      </c>
      <c r="AK383">
        <f>표1[[#This Row],[RC]]/((표1[[#This Row],[AB]]-표1[[#This Row],[H]]+표1[[#This Row],[SAC]]+표1[[#This Row],[SF]]+표1[[#This Row],[CS]]+표1[[#This Row],[GDP]])/27)</f>
        <v>10.445123990922186</v>
      </c>
      <c r="AL38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0.43345503597122298</v>
      </c>
      <c r="AM38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116.91600000000004</v>
      </c>
    </row>
    <row r="384" spans="1:39" x14ac:dyDescent="0.3">
      <c r="A384" t="str">
        <f>_xlfn.CONCAT(표1[[#This Row],[Year]],표1[[#This Row],[Player]])</f>
        <v>2011이병규</v>
      </c>
      <c r="B384">
        <v>2011</v>
      </c>
      <c r="C384">
        <v>3</v>
      </c>
      <c r="D384" t="s">
        <v>50</v>
      </c>
      <c r="E384" t="s">
        <v>36</v>
      </c>
      <c r="F384">
        <v>0.33800000000000002</v>
      </c>
      <c r="G384">
        <v>127</v>
      </c>
      <c r="H384">
        <v>519</v>
      </c>
      <c r="I384">
        <v>485</v>
      </c>
      <c r="J384">
        <v>64</v>
      </c>
      <c r="K384">
        <v>164</v>
      </c>
      <c r="L384">
        <f>표1[[#This Row],[H]]-표1[[#This Row],[2B]]-표1[[#This Row],[3B]]-표1[[#This Row],[HR]]</f>
        <v>124</v>
      </c>
      <c r="M384">
        <v>24</v>
      </c>
      <c r="N384">
        <v>0</v>
      </c>
      <c r="O384">
        <v>16</v>
      </c>
      <c r="P384">
        <v>236</v>
      </c>
      <c r="Q384">
        <v>75</v>
      </c>
      <c r="R384">
        <v>2</v>
      </c>
      <c r="S384">
        <v>2</v>
      </c>
      <c r="T384">
        <v>28</v>
      </c>
      <c r="U384">
        <v>1</v>
      </c>
      <c r="V384">
        <v>2</v>
      </c>
      <c r="W384">
        <v>1</v>
      </c>
      <c r="X384">
        <v>2</v>
      </c>
      <c r="Y384">
        <v>47</v>
      </c>
      <c r="Z384">
        <v>10</v>
      </c>
      <c r="AA384">
        <v>0.48699999999999999</v>
      </c>
      <c r="AB384">
        <v>0.375</v>
      </c>
      <c r="AC384">
        <v>0.86199999999999999</v>
      </c>
      <c r="AD384">
        <v>50</v>
      </c>
      <c r="AE384">
        <v>0.34100000000000003</v>
      </c>
      <c r="AF384">
        <v>0.375</v>
      </c>
      <c r="AG384">
        <f>(표1[[#This Row],[TB]]-표1[[#This Row],[H]])/표1[[#This Row],[AB]]</f>
        <v>0.14845360824742268</v>
      </c>
      <c r="AH384">
        <f>(표1[[#This Row],[TB]]-표1[[#This Row],[H]]+표1[[#This Row],[BB]]+표1[[#This Row],[SB]]-표1[[#This Row],[CS]])/표1[[#This Row],[AB]]</f>
        <v>0.20824742268041238</v>
      </c>
      <c r="AI384">
        <f>(표1[[#This Row],[TB]]+표1[[#This Row],[BB]]+표1[[#This Row],[HBP]]+표1[[#This Row],[SB]]-표1[[#This Row],[CS]])/(표1[[#This Row],[AB]]-표1[[#This Row],[H]]+표1[[#This Row],[CS]]+표1[[#This Row],[GDP]])</f>
        <v>0.80421686746987953</v>
      </c>
      <c r="AJ38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86.972601156069359</v>
      </c>
      <c r="AK384">
        <f>표1[[#This Row],[RC]]/((표1[[#This Row],[AB]]-표1[[#This Row],[H]]+표1[[#This Row],[SAC]]+표1[[#This Row],[SF]]+표1[[#This Row],[CS]]+표1[[#This Row],[GDP]])/27)</f>
        <v>6.9888697357555731</v>
      </c>
      <c r="AL38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0.37366860465116275</v>
      </c>
      <c r="AM38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80.323999999999998</v>
      </c>
    </row>
    <row r="385" spans="1:39" x14ac:dyDescent="0.3">
      <c r="A385" t="str">
        <f>_xlfn.CONCAT(표1[[#This Row],[Year]],표1[[#This Row],[Player]])</f>
        <v>2011이용규</v>
      </c>
      <c r="B385">
        <v>2011</v>
      </c>
      <c r="C385">
        <v>4</v>
      </c>
      <c r="D385" t="s">
        <v>74</v>
      </c>
      <c r="E385" t="s">
        <v>13</v>
      </c>
      <c r="F385">
        <v>0.33300000000000002</v>
      </c>
      <c r="G385">
        <v>111</v>
      </c>
      <c r="H385">
        <v>503</v>
      </c>
      <c r="I385">
        <v>421</v>
      </c>
      <c r="J385">
        <v>84</v>
      </c>
      <c r="K385">
        <v>140</v>
      </c>
      <c r="L385">
        <f>표1[[#This Row],[H]]-표1[[#This Row],[2B]]-표1[[#This Row],[3B]]-표1[[#This Row],[HR]]</f>
        <v>119</v>
      </c>
      <c r="M385">
        <v>16</v>
      </c>
      <c r="N385">
        <v>2</v>
      </c>
      <c r="O385">
        <v>3</v>
      </c>
      <c r="P385">
        <v>169</v>
      </c>
      <c r="Q385">
        <v>33</v>
      </c>
      <c r="R385">
        <v>7</v>
      </c>
      <c r="S385">
        <v>3</v>
      </c>
      <c r="T385">
        <v>63</v>
      </c>
      <c r="U385">
        <v>2</v>
      </c>
      <c r="V385">
        <v>30</v>
      </c>
      <c r="W385">
        <v>6</v>
      </c>
      <c r="X385">
        <v>9</v>
      </c>
      <c r="Y385">
        <v>33</v>
      </c>
      <c r="Z385">
        <v>5</v>
      </c>
      <c r="AA385">
        <v>0.40100000000000002</v>
      </c>
      <c r="AB385">
        <v>0.42699999999999999</v>
      </c>
      <c r="AC385">
        <v>0.82799999999999996</v>
      </c>
      <c r="AD385">
        <v>39</v>
      </c>
      <c r="AE385">
        <v>0.247</v>
      </c>
      <c r="AF385">
        <v>0</v>
      </c>
      <c r="AG385">
        <f>(표1[[#This Row],[TB]]-표1[[#This Row],[H]])/표1[[#This Row],[AB]]</f>
        <v>6.8883610451306407E-2</v>
      </c>
      <c r="AH385">
        <f>(표1[[#This Row],[TB]]-표1[[#This Row],[H]]+표1[[#This Row],[BB]]+표1[[#This Row],[SB]]-표1[[#This Row],[CS]])/표1[[#This Row],[AB]]</f>
        <v>0.27553444180522563</v>
      </c>
      <c r="AI385">
        <f>(표1[[#This Row],[TB]]+표1[[#This Row],[BB]]+표1[[#This Row],[HBP]]+표1[[#This Row],[SB]]-표1[[#This Row],[CS]])/(표1[[#This Row],[AB]]-표1[[#This Row],[H]]+표1[[#This Row],[CS]]+표1[[#This Row],[GDP]])</f>
        <v>0.90753424657534243</v>
      </c>
      <c r="AJ38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83.11729622266401</v>
      </c>
      <c r="AK385">
        <f>표1[[#This Row],[RC]]/((표1[[#This Row],[AB]]-표1[[#This Row],[H]]+표1[[#This Row],[SAC]]+표1[[#This Row],[SF]]+표1[[#This Row],[CS]]+표1[[#This Row],[GDP]])/27)</f>
        <v>7.4310165497083718</v>
      </c>
      <c r="AL38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0.37108704453441299</v>
      </c>
      <c r="AM38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79.186000000000007</v>
      </c>
    </row>
    <row r="386" spans="1:39" x14ac:dyDescent="0.3">
      <c r="A386" t="str">
        <f>_xlfn.CONCAT(표1[[#This Row],[Year]],표1[[#This Row],[Player]])</f>
        <v>2011손아섭</v>
      </c>
      <c r="B386">
        <v>2011</v>
      </c>
      <c r="C386">
        <v>5</v>
      </c>
      <c r="D386" t="s">
        <v>124</v>
      </c>
      <c r="E386" t="s">
        <v>17</v>
      </c>
      <c r="F386">
        <v>0.32600000000000001</v>
      </c>
      <c r="G386">
        <v>116</v>
      </c>
      <c r="H386">
        <v>492</v>
      </c>
      <c r="I386">
        <v>442</v>
      </c>
      <c r="J386">
        <v>79</v>
      </c>
      <c r="K386">
        <v>144</v>
      </c>
      <c r="L386">
        <f>표1[[#This Row],[H]]-표1[[#This Row],[2B]]-표1[[#This Row],[3B]]-표1[[#This Row],[HR]]</f>
        <v>99</v>
      </c>
      <c r="M386">
        <v>25</v>
      </c>
      <c r="N386">
        <v>5</v>
      </c>
      <c r="O386">
        <v>15</v>
      </c>
      <c r="P386">
        <v>224</v>
      </c>
      <c r="Q386">
        <v>83</v>
      </c>
      <c r="R386">
        <v>1</v>
      </c>
      <c r="S386">
        <v>4</v>
      </c>
      <c r="T386">
        <v>43</v>
      </c>
      <c r="U386">
        <v>1</v>
      </c>
      <c r="V386">
        <v>13</v>
      </c>
      <c r="W386">
        <v>4</v>
      </c>
      <c r="X386">
        <v>2</v>
      </c>
      <c r="Y386">
        <v>80</v>
      </c>
      <c r="Z386">
        <v>6</v>
      </c>
      <c r="AA386">
        <v>0.50700000000000001</v>
      </c>
      <c r="AB386">
        <v>0.38500000000000001</v>
      </c>
      <c r="AC386">
        <v>0.89200000000000002</v>
      </c>
      <c r="AD386">
        <v>40</v>
      </c>
      <c r="AE386">
        <v>0.32700000000000001</v>
      </c>
      <c r="AF386">
        <v>0</v>
      </c>
      <c r="AG386">
        <f>(표1[[#This Row],[TB]]-표1[[#This Row],[H]])/표1[[#This Row],[AB]]</f>
        <v>0.18099547511312217</v>
      </c>
      <c r="AH386">
        <f>(표1[[#This Row],[TB]]-표1[[#This Row],[H]]+표1[[#This Row],[BB]]+표1[[#This Row],[SB]]-표1[[#This Row],[CS]])/표1[[#This Row],[AB]]</f>
        <v>0.29864253393665158</v>
      </c>
      <c r="AI386">
        <f>(표1[[#This Row],[TB]]+표1[[#This Row],[BB]]+표1[[#This Row],[HBP]]+표1[[#This Row],[SB]]-표1[[#This Row],[CS]])/(표1[[#This Row],[AB]]-표1[[#This Row],[H]]+표1[[#This Row],[CS]]+표1[[#This Row],[GDP]])</f>
        <v>0.90259740259740262</v>
      </c>
      <c r="AJ38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89.063414634146355</v>
      </c>
      <c r="AK386">
        <f>표1[[#This Row],[RC]]/((표1[[#This Row],[AB]]-표1[[#This Row],[H]]+표1[[#This Row],[SAC]]+표1[[#This Row],[SF]]+표1[[#This Row],[CS]]+표1[[#This Row],[GDP]])/27)</f>
        <v>7.6827865658848289</v>
      </c>
      <c r="AL38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0.38416734693877547</v>
      </c>
      <c r="AM38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82.41</v>
      </c>
    </row>
    <row r="387" spans="1:39" x14ac:dyDescent="0.3">
      <c r="A387" t="str">
        <f>_xlfn.CONCAT(표1[[#This Row],[Year]],표1[[#This Row],[Player]])</f>
        <v>2011안치홍</v>
      </c>
      <c r="B387">
        <v>2011</v>
      </c>
      <c r="C387">
        <v>6</v>
      </c>
      <c r="D387" t="s">
        <v>122</v>
      </c>
      <c r="E387" t="s">
        <v>13</v>
      </c>
      <c r="F387">
        <v>0.315</v>
      </c>
      <c r="G387">
        <v>115</v>
      </c>
      <c r="H387">
        <v>433</v>
      </c>
      <c r="I387">
        <v>378</v>
      </c>
      <c r="J387">
        <v>54</v>
      </c>
      <c r="K387">
        <v>119</v>
      </c>
      <c r="L387">
        <f>표1[[#This Row],[H]]-표1[[#This Row],[2B]]-표1[[#This Row],[3B]]-표1[[#This Row],[HR]]</f>
        <v>89</v>
      </c>
      <c r="M387">
        <v>21</v>
      </c>
      <c r="N387">
        <v>4</v>
      </c>
      <c r="O387">
        <v>5</v>
      </c>
      <c r="P387">
        <v>163</v>
      </c>
      <c r="Q387">
        <v>46</v>
      </c>
      <c r="R387">
        <v>17</v>
      </c>
      <c r="S387">
        <v>2</v>
      </c>
      <c r="T387">
        <v>33</v>
      </c>
      <c r="U387">
        <v>1</v>
      </c>
      <c r="V387">
        <v>9</v>
      </c>
      <c r="W387">
        <v>4</v>
      </c>
      <c r="X387">
        <v>3</v>
      </c>
      <c r="Y387">
        <v>55</v>
      </c>
      <c r="Z387">
        <v>13</v>
      </c>
      <c r="AA387">
        <v>0.43099999999999999</v>
      </c>
      <c r="AB387">
        <v>0.373</v>
      </c>
      <c r="AC387">
        <v>0.80400000000000005</v>
      </c>
      <c r="AD387">
        <v>32</v>
      </c>
      <c r="AE387">
        <v>0.34799999999999998</v>
      </c>
      <c r="AF387">
        <v>0.5</v>
      </c>
      <c r="AG387">
        <f>(표1[[#This Row],[TB]]-표1[[#This Row],[H]])/표1[[#This Row],[AB]]</f>
        <v>0.1164021164021164</v>
      </c>
      <c r="AH387">
        <f>(표1[[#This Row],[TB]]-표1[[#This Row],[H]]+표1[[#This Row],[BB]]+표1[[#This Row],[SB]]-표1[[#This Row],[CS]])/표1[[#This Row],[AB]]</f>
        <v>0.21693121693121692</v>
      </c>
      <c r="AI387">
        <f>(표1[[#This Row],[TB]]+표1[[#This Row],[BB]]+표1[[#This Row],[HBP]]+표1[[#This Row],[SB]]-표1[[#This Row],[CS]])/(표1[[#This Row],[AB]]-표1[[#This Row],[H]]+표1[[#This Row],[CS]]+표1[[#This Row],[GDP]])</f>
        <v>0.73913043478260865</v>
      </c>
      <c r="AJ38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59.489792147806</v>
      </c>
      <c r="AK387">
        <f>표1[[#This Row],[RC]]/((표1[[#This Row],[AB]]-표1[[#This Row],[H]]+표1[[#This Row],[SAC]]+표1[[#This Row],[SF]]+표1[[#This Row],[CS]]+표1[[#This Row],[GDP]])/27)</f>
        <v>5.4448284338669897</v>
      </c>
      <c r="AL38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0.35183855421686749</v>
      </c>
      <c r="AM38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56.330000000000013</v>
      </c>
    </row>
    <row r="388" spans="1:39" x14ac:dyDescent="0.3">
      <c r="A388" t="str">
        <f>_xlfn.CONCAT(표1[[#This Row],[Year]],표1[[#This Row],[Player]])</f>
        <v>2011최정</v>
      </c>
      <c r="B388">
        <v>2011</v>
      </c>
      <c r="C388">
        <v>7</v>
      </c>
      <c r="D388" t="s">
        <v>92</v>
      </c>
      <c r="E388" t="s">
        <v>8</v>
      </c>
      <c r="F388">
        <v>0.31</v>
      </c>
      <c r="G388">
        <v>113</v>
      </c>
      <c r="H388">
        <v>488</v>
      </c>
      <c r="I388">
        <v>403</v>
      </c>
      <c r="J388">
        <v>64</v>
      </c>
      <c r="K388">
        <v>125</v>
      </c>
      <c r="L388">
        <f>표1[[#This Row],[H]]-표1[[#This Row],[2B]]-표1[[#This Row],[3B]]-표1[[#This Row],[HR]]</f>
        <v>79</v>
      </c>
      <c r="M388">
        <v>25</v>
      </c>
      <c r="N388">
        <v>1</v>
      </c>
      <c r="O388">
        <v>20</v>
      </c>
      <c r="P388">
        <v>212</v>
      </c>
      <c r="Q388">
        <v>75</v>
      </c>
      <c r="R388">
        <v>13</v>
      </c>
      <c r="S388">
        <v>6</v>
      </c>
      <c r="T388">
        <v>46</v>
      </c>
      <c r="U388">
        <v>1</v>
      </c>
      <c r="V388">
        <v>15</v>
      </c>
      <c r="W388">
        <v>5</v>
      </c>
      <c r="X388">
        <v>20</v>
      </c>
      <c r="Y388">
        <v>72</v>
      </c>
      <c r="Z388">
        <v>8</v>
      </c>
      <c r="AA388">
        <v>0.52600000000000002</v>
      </c>
      <c r="AB388">
        <v>0.40200000000000002</v>
      </c>
      <c r="AC388">
        <v>0.92800000000000005</v>
      </c>
      <c r="AD388">
        <v>39</v>
      </c>
      <c r="AE388">
        <v>0.372</v>
      </c>
      <c r="AF388">
        <v>0</v>
      </c>
      <c r="AG388">
        <f>(표1[[#This Row],[TB]]-표1[[#This Row],[H]])/표1[[#This Row],[AB]]</f>
        <v>0.21588089330024815</v>
      </c>
      <c r="AH388">
        <f>(표1[[#This Row],[TB]]-표1[[#This Row],[H]]+표1[[#This Row],[BB]]+표1[[#This Row],[SB]]-표1[[#This Row],[CS]])/표1[[#This Row],[AB]]</f>
        <v>0.35483870967741937</v>
      </c>
      <c r="AI388">
        <f>(표1[[#This Row],[TB]]+표1[[#This Row],[BB]]+표1[[#This Row],[HBP]]+표1[[#This Row],[SB]]-표1[[#This Row],[CS]])/(표1[[#This Row],[AB]]-표1[[#This Row],[H]]+표1[[#This Row],[CS]]+표1[[#This Row],[GDP]])</f>
        <v>0.98969072164948457</v>
      </c>
      <c r="AJ38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89.941065573770501</v>
      </c>
      <c r="AK388">
        <f>표1[[#This Row],[RC]]/((표1[[#This Row],[AB]]-표1[[#This Row],[H]]+표1[[#This Row],[SAC]]+표1[[#This Row],[SF]]+표1[[#This Row],[CS]]+표1[[#This Row],[GDP]])/27)</f>
        <v>7.8335766790058186</v>
      </c>
      <c r="AL38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0.3998924050632911</v>
      </c>
      <c r="AM38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84.974000000000018</v>
      </c>
    </row>
    <row r="389" spans="1:39" x14ac:dyDescent="0.3">
      <c r="A389" t="str">
        <f>_xlfn.CONCAT(표1[[#This Row],[Year]],표1[[#This Row],[Player]])</f>
        <v>2011홍성흔</v>
      </c>
      <c r="B389">
        <v>2011</v>
      </c>
      <c r="C389">
        <v>8</v>
      </c>
      <c r="D389" t="s">
        <v>49</v>
      </c>
      <c r="E389" t="s">
        <v>17</v>
      </c>
      <c r="F389">
        <v>0.30599999999999999</v>
      </c>
      <c r="G389">
        <v>132</v>
      </c>
      <c r="H389">
        <v>535</v>
      </c>
      <c r="I389">
        <v>474</v>
      </c>
      <c r="J389">
        <v>70</v>
      </c>
      <c r="K389">
        <v>145</v>
      </c>
      <c r="L389">
        <f>표1[[#This Row],[H]]-표1[[#This Row],[2B]]-표1[[#This Row],[3B]]-표1[[#This Row],[HR]]</f>
        <v>113</v>
      </c>
      <c r="M389">
        <v>24</v>
      </c>
      <c r="N389">
        <v>2</v>
      </c>
      <c r="O389">
        <v>6</v>
      </c>
      <c r="P389">
        <v>191</v>
      </c>
      <c r="Q389">
        <v>67</v>
      </c>
      <c r="R389">
        <v>0</v>
      </c>
      <c r="S389">
        <v>5</v>
      </c>
      <c r="T389">
        <v>53</v>
      </c>
      <c r="U389">
        <v>0</v>
      </c>
      <c r="V389">
        <v>2</v>
      </c>
      <c r="W389">
        <v>5</v>
      </c>
      <c r="X389">
        <v>3</v>
      </c>
      <c r="Y389">
        <v>80</v>
      </c>
      <c r="Z389">
        <v>22</v>
      </c>
      <c r="AA389">
        <v>0.40300000000000002</v>
      </c>
      <c r="AB389">
        <v>0.376</v>
      </c>
      <c r="AC389">
        <v>0.77900000000000003</v>
      </c>
      <c r="AD389">
        <v>34</v>
      </c>
      <c r="AE389">
        <v>0.30299999999999999</v>
      </c>
      <c r="AF389">
        <v>0.16700000000000001</v>
      </c>
      <c r="AG389">
        <f>(표1[[#This Row],[TB]]-표1[[#This Row],[H]])/표1[[#This Row],[AB]]</f>
        <v>9.7046413502109699E-2</v>
      </c>
      <c r="AH389">
        <f>(표1[[#This Row],[TB]]-표1[[#This Row],[H]]+표1[[#This Row],[BB]]+표1[[#This Row],[SB]]-표1[[#This Row],[CS]])/표1[[#This Row],[AB]]</f>
        <v>0.20253164556962025</v>
      </c>
      <c r="AI389">
        <f>(표1[[#This Row],[TB]]+표1[[#This Row],[BB]]+표1[[#This Row],[HBP]]+표1[[#This Row],[SB]]-표1[[#This Row],[CS]])/(표1[[#This Row],[AB]]-표1[[#This Row],[H]]+표1[[#This Row],[CS]]+표1[[#This Row],[GDP]])</f>
        <v>0.6853932584269663</v>
      </c>
      <c r="AJ38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68.038878504672894</v>
      </c>
      <c r="AK389">
        <f>표1[[#This Row],[RC]]/((표1[[#This Row],[AB]]-표1[[#This Row],[H]]+표1[[#This Row],[SAC]]+표1[[#This Row],[SF]]+표1[[#This Row],[CS]]+표1[[#This Row],[GDP]])/27)</f>
        <v>5.0887803867760892</v>
      </c>
      <c r="AL38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0.34464112149532705</v>
      </c>
      <c r="AM38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65.760000000000005</v>
      </c>
    </row>
    <row r="390" spans="1:39" x14ac:dyDescent="0.3">
      <c r="A390" t="str">
        <f>_xlfn.CONCAT(표1[[#This Row],[Year]],표1[[#This Row],[Player]])</f>
        <v>2011이종욱</v>
      </c>
      <c r="B390">
        <v>2011</v>
      </c>
      <c r="C390">
        <v>9</v>
      </c>
      <c r="D390" t="s">
        <v>80</v>
      </c>
      <c r="E390" t="s">
        <v>1</v>
      </c>
      <c r="F390">
        <v>0.30299999999999999</v>
      </c>
      <c r="G390">
        <v>121</v>
      </c>
      <c r="H390">
        <v>499</v>
      </c>
      <c r="I390">
        <v>436</v>
      </c>
      <c r="J390">
        <v>64</v>
      </c>
      <c r="K390">
        <v>132</v>
      </c>
      <c r="L390">
        <f>표1[[#This Row],[H]]-표1[[#This Row],[2B]]-표1[[#This Row],[3B]]-표1[[#This Row],[HR]]</f>
        <v>111</v>
      </c>
      <c r="M390">
        <v>11</v>
      </c>
      <c r="N390">
        <v>5</v>
      </c>
      <c r="O390">
        <v>5</v>
      </c>
      <c r="P390">
        <v>168</v>
      </c>
      <c r="Q390">
        <v>44</v>
      </c>
      <c r="R390">
        <v>5</v>
      </c>
      <c r="S390">
        <v>4</v>
      </c>
      <c r="T390">
        <v>49</v>
      </c>
      <c r="U390">
        <v>0</v>
      </c>
      <c r="V390">
        <v>20</v>
      </c>
      <c r="W390">
        <v>15</v>
      </c>
      <c r="X390">
        <v>5</v>
      </c>
      <c r="Y390">
        <v>51</v>
      </c>
      <c r="Z390">
        <v>6</v>
      </c>
      <c r="AA390">
        <v>0.38500000000000001</v>
      </c>
      <c r="AB390">
        <v>0.377</v>
      </c>
      <c r="AC390">
        <v>0.76200000000000001</v>
      </c>
      <c r="AD390">
        <v>39</v>
      </c>
      <c r="AE390">
        <v>0.26</v>
      </c>
      <c r="AF390">
        <v>0.5</v>
      </c>
      <c r="AG390">
        <f>(표1[[#This Row],[TB]]-표1[[#This Row],[H]])/표1[[#This Row],[AB]]</f>
        <v>8.2568807339449546E-2</v>
      </c>
      <c r="AH390">
        <f>(표1[[#This Row],[TB]]-표1[[#This Row],[H]]+표1[[#This Row],[BB]]+표1[[#This Row],[SB]]-표1[[#This Row],[CS]])/표1[[#This Row],[AB]]</f>
        <v>0.20642201834862386</v>
      </c>
      <c r="AI390">
        <f>(표1[[#This Row],[TB]]+표1[[#This Row],[BB]]+표1[[#This Row],[HBP]]+표1[[#This Row],[SB]]-표1[[#This Row],[CS]])/(표1[[#This Row],[AB]]-표1[[#This Row],[H]]+표1[[#This Row],[CS]]+표1[[#This Row],[GDP]])</f>
        <v>0.69846153846153847</v>
      </c>
      <c r="AJ39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65.179959919839675</v>
      </c>
      <c r="AK390">
        <f>표1[[#This Row],[RC]]/((표1[[#This Row],[AB]]-표1[[#This Row],[H]]+표1[[#This Row],[SAC]]+표1[[#This Row],[SF]]+표1[[#This Row],[CS]]+표1[[#This Row],[GDP]])/27)</f>
        <v>5.2690386761547039</v>
      </c>
      <c r="AL39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0.33942307692307688</v>
      </c>
      <c r="AM39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64.672000000000011</v>
      </c>
    </row>
    <row r="391" spans="1:39" x14ac:dyDescent="0.3">
      <c r="A391" t="str">
        <f>_xlfn.CONCAT(표1[[#This Row],[Year]],표1[[#This Row],[Player]])</f>
        <v>2011박용택</v>
      </c>
      <c r="B391">
        <v>2011</v>
      </c>
      <c r="C391">
        <v>10</v>
      </c>
      <c r="D391" t="s">
        <v>42</v>
      </c>
      <c r="E391" t="s">
        <v>36</v>
      </c>
      <c r="F391">
        <v>0.30199999999999999</v>
      </c>
      <c r="G391">
        <v>115</v>
      </c>
      <c r="H391">
        <v>450</v>
      </c>
      <c r="I391">
        <v>414</v>
      </c>
      <c r="J391">
        <v>57</v>
      </c>
      <c r="K391">
        <v>125</v>
      </c>
      <c r="L391">
        <f>표1[[#This Row],[H]]-표1[[#This Row],[2B]]-표1[[#This Row],[3B]]-표1[[#This Row],[HR]]</f>
        <v>88</v>
      </c>
      <c r="M391">
        <v>21</v>
      </c>
      <c r="N391">
        <v>1</v>
      </c>
      <c r="O391">
        <v>15</v>
      </c>
      <c r="P391">
        <v>193</v>
      </c>
      <c r="Q391">
        <v>64</v>
      </c>
      <c r="R391">
        <v>1</v>
      </c>
      <c r="S391">
        <v>4</v>
      </c>
      <c r="T391">
        <v>26</v>
      </c>
      <c r="U391">
        <v>4</v>
      </c>
      <c r="V391">
        <v>13</v>
      </c>
      <c r="W391">
        <v>3</v>
      </c>
      <c r="X391">
        <v>5</v>
      </c>
      <c r="Y391">
        <v>71</v>
      </c>
      <c r="Z391">
        <v>8</v>
      </c>
      <c r="AA391">
        <v>0.46600000000000003</v>
      </c>
      <c r="AB391">
        <v>0.34699999999999998</v>
      </c>
      <c r="AC391">
        <v>0.81299999999999994</v>
      </c>
      <c r="AD391">
        <v>34</v>
      </c>
      <c r="AE391">
        <v>0.30199999999999999</v>
      </c>
      <c r="AF391">
        <v>0.25</v>
      </c>
      <c r="AG391">
        <f>(표1[[#This Row],[TB]]-표1[[#This Row],[H]])/표1[[#This Row],[AB]]</f>
        <v>0.16425120772946861</v>
      </c>
      <c r="AH391">
        <f>(표1[[#This Row],[TB]]-표1[[#This Row],[H]]+표1[[#This Row],[BB]]+표1[[#This Row],[SB]]-표1[[#This Row],[CS]])/표1[[#This Row],[AB]]</f>
        <v>0.25120772946859904</v>
      </c>
      <c r="AI391">
        <f>(표1[[#This Row],[TB]]+표1[[#This Row],[BB]]+표1[[#This Row],[HBP]]+표1[[#This Row],[SB]]-표1[[#This Row],[CS]])/(표1[[#This Row],[AB]]-표1[[#This Row],[H]]+표1[[#This Row],[CS]]+표1[[#This Row],[GDP]])</f>
        <v>0.78</v>
      </c>
      <c r="AJ39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67.466888888888889</v>
      </c>
      <c r="AK391">
        <f>표1[[#This Row],[RC]]/((표1[[#This Row],[AB]]-표1[[#This Row],[H]]+표1[[#This Row],[SAC]]+표1[[#This Row],[SF]]+표1[[#This Row],[CS]]+표1[[#This Row],[GDP]])/27)</f>
        <v>5.97247868852459</v>
      </c>
      <c r="AL39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0.34935730337078652</v>
      </c>
      <c r="AM39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65.302000000000007</v>
      </c>
    </row>
    <row r="392" spans="1:39" x14ac:dyDescent="0.3">
      <c r="A392" t="str">
        <f>_xlfn.CONCAT(표1[[#This Row],[Year]],표1[[#This Row],[Player]])</f>
        <v>2011김현수</v>
      </c>
      <c r="B392">
        <v>2011</v>
      </c>
      <c r="C392">
        <v>11</v>
      </c>
      <c r="D392" t="s">
        <v>98</v>
      </c>
      <c r="E392" t="s">
        <v>1</v>
      </c>
      <c r="F392">
        <v>0.30099999999999999</v>
      </c>
      <c r="G392">
        <v>130</v>
      </c>
      <c r="H392">
        <v>561</v>
      </c>
      <c r="I392">
        <v>475</v>
      </c>
      <c r="J392">
        <v>71</v>
      </c>
      <c r="K392">
        <v>143</v>
      </c>
      <c r="L392">
        <f>표1[[#This Row],[H]]-표1[[#This Row],[2B]]-표1[[#This Row],[3B]]-표1[[#This Row],[HR]]</f>
        <v>103</v>
      </c>
      <c r="M392">
        <v>25</v>
      </c>
      <c r="N392">
        <v>2</v>
      </c>
      <c r="O392">
        <v>13</v>
      </c>
      <c r="P392">
        <v>211</v>
      </c>
      <c r="Q392">
        <v>91</v>
      </c>
      <c r="R392">
        <v>0</v>
      </c>
      <c r="S392">
        <v>9</v>
      </c>
      <c r="T392">
        <v>71</v>
      </c>
      <c r="U392">
        <v>9</v>
      </c>
      <c r="V392">
        <v>5</v>
      </c>
      <c r="W392">
        <v>3</v>
      </c>
      <c r="X392">
        <v>6</v>
      </c>
      <c r="Y392">
        <v>63</v>
      </c>
      <c r="Z392">
        <v>15</v>
      </c>
      <c r="AA392">
        <v>0.44400000000000001</v>
      </c>
      <c r="AB392">
        <v>0.39200000000000002</v>
      </c>
      <c r="AC392">
        <v>0.83599999999999997</v>
      </c>
      <c r="AD392">
        <v>35</v>
      </c>
      <c r="AE392">
        <v>0.33300000000000002</v>
      </c>
      <c r="AF392">
        <v>1</v>
      </c>
      <c r="AG392">
        <f>(표1[[#This Row],[TB]]-표1[[#This Row],[H]])/표1[[#This Row],[AB]]</f>
        <v>0.1431578947368421</v>
      </c>
      <c r="AH392">
        <f>(표1[[#This Row],[TB]]-표1[[#This Row],[H]]+표1[[#This Row],[BB]]+표1[[#This Row],[SB]]-표1[[#This Row],[CS]])/표1[[#This Row],[AB]]</f>
        <v>0.29684210526315791</v>
      </c>
      <c r="AI392">
        <f>(표1[[#This Row],[TB]]+표1[[#This Row],[BB]]+표1[[#This Row],[HBP]]+표1[[#This Row],[SB]]-표1[[#This Row],[CS]])/(표1[[#This Row],[AB]]-표1[[#This Row],[H]]+표1[[#This Row],[CS]]+표1[[#This Row],[GDP]])</f>
        <v>0.82857142857142863</v>
      </c>
      <c r="AJ39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84.962424242424234</v>
      </c>
      <c r="AK392">
        <f>표1[[#This Row],[RC]]/((표1[[#This Row],[AB]]-표1[[#This Row],[H]]+표1[[#This Row],[SAC]]+표1[[#This Row],[SF]]+표1[[#This Row],[CS]]+표1[[#This Row],[GDP]])/27)</f>
        <v>6.3899316282603182</v>
      </c>
      <c r="AL39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0.36157789855072464</v>
      </c>
      <c r="AM39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83.006</v>
      </c>
    </row>
    <row r="393" spans="1:39" x14ac:dyDescent="0.3">
      <c r="A393" t="str">
        <f>_xlfn.CONCAT(표1[[#This Row],[Year]],표1[[#This Row],[Player]])</f>
        <v>2011전준우</v>
      </c>
      <c r="B393">
        <v>2011</v>
      </c>
      <c r="C393">
        <v>12</v>
      </c>
      <c r="D393" t="s">
        <v>136</v>
      </c>
      <c r="E393" t="s">
        <v>17</v>
      </c>
      <c r="F393">
        <v>0.30099999999999999</v>
      </c>
      <c r="G393">
        <v>133</v>
      </c>
      <c r="H393">
        <v>601</v>
      </c>
      <c r="I393">
        <v>539</v>
      </c>
      <c r="J393">
        <v>97</v>
      </c>
      <c r="K393">
        <v>162</v>
      </c>
      <c r="L393">
        <f>표1[[#This Row],[H]]-표1[[#This Row],[2B]]-표1[[#This Row],[3B]]-표1[[#This Row],[HR]]</f>
        <v>108</v>
      </c>
      <c r="M393">
        <v>38</v>
      </c>
      <c r="N393">
        <v>5</v>
      </c>
      <c r="O393">
        <v>11</v>
      </c>
      <c r="P393">
        <v>243</v>
      </c>
      <c r="Q393">
        <v>64</v>
      </c>
      <c r="R393">
        <v>2</v>
      </c>
      <c r="S393">
        <v>3</v>
      </c>
      <c r="T393">
        <v>50</v>
      </c>
      <c r="U393">
        <v>4</v>
      </c>
      <c r="V393">
        <v>23</v>
      </c>
      <c r="W393">
        <v>9</v>
      </c>
      <c r="X393">
        <v>7</v>
      </c>
      <c r="Y393">
        <v>101</v>
      </c>
      <c r="Z393">
        <v>14</v>
      </c>
      <c r="AA393">
        <v>0.45100000000000001</v>
      </c>
      <c r="AB393">
        <v>0.36599999999999999</v>
      </c>
      <c r="AC393">
        <v>0.81699999999999995</v>
      </c>
      <c r="AD393">
        <v>47</v>
      </c>
      <c r="AE393">
        <v>0.27</v>
      </c>
      <c r="AF393">
        <v>0</v>
      </c>
      <c r="AG393">
        <f>(표1[[#This Row],[TB]]-표1[[#This Row],[H]])/표1[[#This Row],[AB]]</f>
        <v>0.150278293135436</v>
      </c>
      <c r="AH393">
        <f>(표1[[#This Row],[TB]]-표1[[#This Row],[H]]+표1[[#This Row],[BB]]+표1[[#This Row],[SB]]-표1[[#This Row],[CS]])/표1[[#This Row],[AB]]</f>
        <v>0.26901669758812619</v>
      </c>
      <c r="AI393">
        <f>(표1[[#This Row],[TB]]+표1[[#This Row],[BB]]+표1[[#This Row],[HBP]]+표1[[#This Row],[SB]]-표1[[#This Row],[CS]])/(표1[[#This Row],[AB]]-표1[[#This Row],[H]]+표1[[#This Row],[CS]]+표1[[#This Row],[GDP]])</f>
        <v>0.78500000000000003</v>
      </c>
      <c r="AJ39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88.490249584026614</v>
      </c>
      <c r="AK393">
        <f>표1[[#This Row],[RC]]/((표1[[#This Row],[AB]]-표1[[#This Row],[H]]+표1[[#This Row],[SAC]]+표1[[#This Row],[SF]]+표1[[#This Row],[CS]]+표1[[#This Row],[GDP]])/27)</f>
        <v>5.8993499722684408</v>
      </c>
      <c r="AL39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0.35408571428571428</v>
      </c>
      <c r="AM39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83.951999999999998</v>
      </c>
    </row>
    <row r="394" spans="1:39" x14ac:dyDescent="0.3">
      <c r="A394" t="str">
        <f>_xlfn.CONCAT(표1[[#This Row],[Year]],표1[[#This Row],[Player]])</f>
        <v>2011이대수</v>
      </c>
      <c r="B394">
        <v>2011</v>
      </c>
      <c r="C394">
        <v>13</v>
      </c>
      <c r="D394" t="s">
        <v>82</v>
      </c>
      <c r="E394" t="s">
        <v>11</v>
      </c>
      <c r="F394">
        <v>0.30099999999999999</v>
      </c>
      <c r="G394">
        <v>122</v>
      </c>
      <c r="H394">
        <v>420</v>
      </c>
      <c r="I394">
        <v>366</v>
      </c>
      <c r="J394">
        <v>46</v>
      </c>
      <c r="K394">
        <v>110</v>
      </c>
      <c r="L394">
        <f>표1[[#This Row],[H]]-표1[[#This Row],[2B]]-표1[[#This Row],[3B]]-표1[[#This Row],[HR]]</f>
        <v>83</v>
      </c>
      <c r="M394">
        <v>16</v>
      </c>
      <c r="N394">
        <v>3</v>
      </c>
      <c r="O394">
        <v>8</v>
      </c>
      <c r="P394">
        <v>156</v>
      </c>
      <c r="Q394">
        <v>50</v>
      </c>
      <c r="R394">
        <v>14</v>
      </c>
      <c r="S394">
        <v>4</v>
      </c>
      <c r="T394">
        <v>31</v>
      </c>
      <c r="U394">
        <v>0</v>
      </c>
      <c r="V394">
        <v>8</v>
      </c>
      <c r="W394">
        <v>8</v>
      </c>
      <c r="X394">
        <v>5</v>
      </c>
      <c r="Y394">
        <v>64</v>
      </c>
      <c r="Z394">
        <v>5</v>
      </c>
      <c r="AA394">
        <v>0.42599999999999999</v>
      </c>
      <c r="AB394">
        <v>0.36</v>
      </c>
      <c r="AC394">
        <v>0.78600000000000003</v>
      </c>
      <c r="AD394">
        <v>26</v>
      </c>
      <c r="AE394">
        <v>0.30599999999999999</v>
      </c>
      <c r="AF394">
        <v>0.2</v>
      </c>
      <c r="AG394">
        <f>(표1[[#This Row],[TB]]-표1[[#This Row],[H]])/표1[[#This Row],[AB]]</f>
        <v>0.12568306010928962</v>
      </c>
      <c r="AH394">
        <f>(표1[[#This Row],[TB]]-표1[[#This Row],[H]]+표1[[#This Row],[BB]]+표1[[#This Row],[SB]]-표1[[#This Row],[CS]])/표1[[#This Row],[AB]]</f>
        <v>0.2103825136612022</v>
      </c>
      <c r="AI394">
        <f>(표1[[#This Row],[TB]]+표1[[#This Row],[BB]]+표1[[#This Row],[HBP]]+표1[[#This Row],[SB]]-표1[[#This Row],[CS]])/(표1[[#This Row],[AB]]-표1[[#This Row],[H]]+표1[[#This Row],[CS]]+표1[[#This Row],[GDP]])</f>
        <v>0.71375464684014867</v>
      </c>
      <c r="AJ39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56.645333333333348</v>
      </c>
      <c r="AK394">
        <f>표1[[#This Row],[RC]]/((표1[[#This Row],[AB]]-표1[[#This Row],[H]]+표1[[#This Row],[SAC]]+표1[[#This Row],[SF]]+표1[[#This Row],[CS]]+표1[[#This Row],[GDP]])/27)</f>
        <v>5.3290034843205589</v>
      </c>
      <c r="AL39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0.344231527093596</v>
      </c>
      <c r="AM39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55.417999999999985</v>
      </c>
    </row>
    <row r="395" spans="1:39" x14ac:dyDescent="0.3">
      <c r="A395" t="str">
        <f>_xlfn.CONCAT(표1[[#This Row],[Year]],표1[[#This Row],[Player]])</f>
        <v>2011양의지</v>
      </c>
      <c r="B395">
        <v>2011</v>
      </c>
      <c r="C395">
        <v>14</v>
      </c>
      <c r="D395" t="s">
        <v>131</v>
      </c>
      <c r="E395" t="s">
        <v>1</v>
      </c>
      <c r="F395">
        <v>0.30099999999999999</v>
      </c>
      <c r="G395">
        <v>119</v>
      </c>
      <c r="H395">
        <v>438</v>
      </c>
      <c r="I395">
        <v>376</v>
      </c>
      <c r="J395">
        <v>43</v>
      </c>
      <c r="K395">
        <v>113</v>
      </c>
      <c r="L395">
        <f>표1[[#This Row],[H]]-표1[[#This Row],[2B]]-표1[[#This Row],[3B]]-표1[[#This Row],[HR]]</f>
        <v>92</v>
      </c>
      <c r="M395">
        <v>14</v>
      </c>
      <c r="N395">
        <v>3</v>
      </c>
      <c r="O395">
        <v>4</v>
      </c>
      <c r="P395">
        <v>145</v>
      </c>
      <c r="Q395">
        <v>46</v>
      </c>
      <c r="R395">
        <v>11</v>
      </c>
      <c r="S395">
        <v>4</v>
      </c>
      <c r="T395">
        <v>44</v>
      </c>
      <c r="U395">
        <v>2</v>
      </c>
      <c r="V395">
        <v>3</v>
      </c>
      <c r="W395">
        <v>3</v>
      </c>
      <c r="X395">
        <v>3</v>
      </c>
      <c r="Y395">
        <v>58</v>
      </c>
      <c r="Z395">
        <v>12</v>
      </c>
      <c r="AA395">
        <v>0.38600000000000001</v>
      </c>
      <c r="AB395">
        <v>0.375</v>
      </c>
      <c r="AC395">
        <v>0.76100000000000001</v>
      </c>
      <c r="AD395">
        <v>30</v>
      </c>
      <c r="AE395">
        <v>0.315</v>
      </c>
      <c r="AF395">
        <v>0</v>
      </c>
      <c r="AG395">
        <f>(표1[[#This Row],[TB]]-표1[[#This Row],[H]])/표1[[#This Row],[AB]]</f>
        <v>8.5106382978723402E-2</v>
      </c>
      <c r="AH395">
        <f>(표1[[#This Row],[TB]]-표1[[#This Row],[H]]+표1[[#This Row],[BB]]+표1[[#This Row],[SB]]-표1[[#This Row],[CS]])/표1[[#This Row],[AB]]</f>
        <v>0.20212765957446807</v>
      </c>
      <c r="AI395">
        <f>(표1[[#This Row],[TB]]+표1[[#This Row],[BB]]+표1[[#This Row],[HBP]]+표1[[#This Row],[SB]]-표1[[#This Row],[CS]])/(표1[[#This Row],[AB]]-표1[[#This Row],[H]]+표1[[#This Row],[CS]]+표1[[#This Row],[GDP]])</f>
        <v>0.69064748201438853</v>
      </c>
      <c r="AJ39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54.974200913242008</v>
      </c>
      <c r="AK395">
        <f>표1[[#This Row],[RC]]/((표1[[#This Row],[AB]]-표1[[#This Row],[H]]+표1[[#This Row],[SAC]]+표1[[#This Row],[SF]]+표1[[#This Row],[CS]]+표1[[#This Row],[GDP]])/27)</f>
        <v>5.0658819954182057</v>
      </c>
      <c r="AL39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0.33676470588235297</v>
      </c>
      <c r="AM39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53.685999999999993</v>
      </c>
    </row>
    <row r="396" spans="1:39" x14ac:dyDescent="0.3">
      <c r="A396" t="str">
        <f>_xlfn.CONCAT(표1[[#This Row],[Year]],표1[[#This Row],[Player]])</f>
        <v>2011정성훈</v>
      </c>
      <c r="B396">
        <v>2011</v>
      </c>
      <c r="C396">
        <v>15</v>
      </c>
      <c r="D396" t="s">
        <v>61</v>
      </c>
      <c r="E396" t="s">
        <v>36</v>
      </c>
      <c r="F396">
        <v>0.29099999999999998</v>
      </c>
      <c r="G396">
        <v>127</v>
      </c>
      <c r="H396">
        <v>494</v>
      </c>
      <c r="I396">
        <v>422</v>
      </c>
      <c r="J396">
        <v>61</v>
      </c>
      <c r="K396">
        <v>123</v>
      </c>
      <c r="L396">
        <f>표1[[#This Row],[H]]-표1[[#This Row],[2B]]-표1[[#This Row],[3B]]-표1[[#This Row],[HR]]</f>
        <v>94</v>
      </c>
      <c r="M396">
        <v>18</v>
      </c>
      <c r="N396">
        <v>1</v>
      </c>
      <c r="O396">
        <v>10</v>
      </c>
      <c r="P396">
        <v>173</v>
      </c>
      <c r="Q396">
        <v>57</v>
      </c>
      <c r="R396">
        <v>11</v>
      </c>
      <c r="S396">
        <v>7</v>
      </c>
      <c r="T396">
        <v>49</v>
      </c>
      <c r="U396">
        <v>1</v>
      </c>
      <c r="V396">
        <v>9</v>
      </c>
      <c r="W396">
        <v>2</v>
      </c>
      <c r="X396">
        <v>5</v>
      </c>
      <c r="Y396">
        <v>69</v>
      </c>
      <c r="Z396">
        <v>16</v>
      </c>
      <c r="AA396">
        <v>0.41</v>
      </c>
      <c r="AB396">
        <v>0.36599999999999999</v>
      </c>
      <c r="AC396">
        <v>0.77600000000000002</v>
      </c>
      <c r="AD396">
        <v>33</v>
      </c>
      <c r="AE396">
        <v>0.27100000000000002</v>
      </c>
      <c r="AF396">
        <v>0.33300000000000002</v>
      </c>
      <c r="AG396">
        <f>(표1[[#This Row],[TB]]-표1[[#This Row],[H]])/표1[[#This Row],[AB]]</f>
        <v>0.11848341232227488</v>
      </c>
      <c r="AH396">
        <f>(표1[[#This Row],[TB]]-표1[[#This Row],[H]]+표1[[#This Row],[BB]]+표1[[#This Row],[SB]]-표1[[#This Row],[CS]])/표1[[#This Row],[AB]]</f>
        <v>0.25118483412322273</v>
      </c>
      <c r="AI396">
        <f>(표1[[#This Row],[TB]]+표1[[#This Row],[BB]]+표1[[#This Row],[HBP]]+표1[[#This Row],[SB]]-표1[[#This Row],[CS]])/(표1[[#This Row],[AB]]-표1[[#This Row],[H]]+표1[[#This Row],[CS]]+표1[[#This Row],[GDP]])</f>
        <v>0.73817034700315454</v>
      </c>
      <c r="AJ39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64.636396761133597</v>
      </c>
      <c r="AK396">
        <f>표1[[#This Row],[RC]]/((표1[[#This Row],[AB]]-표1[[#This Row],[H]]+표1[[#This Row],[SAC]]+표1[[#This Row],[SF]]+표1[[#This Row],[CS]]+표1[[#This Row],[GDP]])/27)</f>
        <v>5.2095006344794248</v>
      </c>
      <c r="AL39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0.34164522821576765</v>
      </c>
      <c r="AM39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64.298000000000002</v>
      </c>
    </row>
    <row r="397" spans="1:39" x14ac:dyDescent="0.3">
      <c r="A397" t="str">
        <f>_xlfn.CONCAT(표1[[#This Row],[Year]],표1[[#This Row],[Player]])</f>
        <v>2011김선빈</v>
      </c>
      <c r="B397">
        <v>2011</v>
      </c>
      <c r="C397">
        <v>16</v>
      </c>
      <c r="D397" t="s">
        <v>137</v>
      </c>
      <c r="E397" t="s">
        <v>13</v>
      </c>
      <c r="F397">
        <v>0.28999999999999998</v>
      </c>
      <c r="G397">
        <v>98</v>
      </c>
      <c r="H397">
        <v>412</v>
      </c>
      <c r="I397">
        <v>335</v>
      </c>
      <c r="J397">
        <v>58</v>
      </c>
      <c r="K397">
        <v>97</v>
      </c>
      <c r="L397">
        <f>표1[[#This Row],[H]]-표1[[#This Row],[2B]]-표1[[#This Row],[3B]]-표1[[#This Row],[HR]]</f>
        <v>79</v>
      </c>
      <c r="M397">
        <v>12</v>
      </c>
      <c r="N397">
        <v>2</v>
      </c>
      <c r="O397">
        <v>4</v>
      </c>
      <c r="P397">
        <v>125</v>
      </c>
      <c r="Q397">
        <v>47</v>
      </c>
      <c r="R397">
        <v>20</v>
      </c>
      <c r="S397">
        <v>5</v>
      </c>
      <c r="T397">
        <v>50</v>
      </c>
      <c r="U397">
        <v>0</v>
      </c>
      <c r="V397">
        <v>22</v>
      </c>
      <c r="W397">
        <v>9</v>
      </c>
      <c r="X397">
        <v>2</v>
      </c>
      <c r="Y397">
        <v>42</v>
      </c>
      <c r="Z397">
        <v>8</v>
      </c>
      <c r="AA397">
        <v>0.373</v>
      </c>
      <c r="AB397">
        <v>0.38</v>
      </c>
      <c r="AC397">
        <v>0.753</v>
      </c>
      <c r="AD397">
        <v>27</v>
      </c>
      <c r="AE397">
        <v>0.29599999999999999</v>
      </c>
      <c r="AF397">
        <v>0</v>
      </c>
      <c r="AG397">
        <f>(표1[[#This Row],[TB]]-표1[[#This Row],[H]])/표1[[#This Row],[AB]]</f>
        <v>8.3582089552238809E-2</v>
      </c>
      <c r="AH397">
        <f>(표1[[#This Row],[TB]]-표1[[#This Row],[H]]+표1[[#This Row],[BB]]+표1[[#This Row],[SB]]-표1[[#This Row],[CS]])/표1[[#This Row],[AB]]</f>
        <v>0.27164179104477609</v>
      </c>
      <c r="AI397">
        <f>(표1[[#This Row],[TB]]+표1[[#This Row],[BB]]+표1[[#This Row],[HBP]]+표1[[#This Row],[SB]]-표1[[#This Row],[CS]])/(표1[[#This Row],[AB]]-표1[[#This Row],[H]]+표1[[#This Row],[CS]]+표1[[#This Row],[GDP]])</f>
        <v>0.74509803921568629</v>
      </c>
      <c r="AJ39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52.210485436893208</v>
      </c>
      <c r="AK397">
        <f>표1[[#This Row],[RC]]/((표1[[#This Row],[AB]]-표1[[#This Row],[H]]+표1[[#This Row],[SAC]]+표1[[#This Row],[SF]]+표1[[#This Row],[CS]]+표1[[#This Row],[GDP]])/27)</f>
        <v>5.0345825242718449</v>
      </c>
      <c r="AL39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0.33758163265306118</v>
      </c>
      <c r="AM39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52.673999999999999</v>
      </c>
    </row>
    <row r="398" spans="1:39" x14ac:dyDescent="0.3">
      <c r="A398" t="str">
        <f>_xlfn.CONCAT(표1[[#This Row],[Year]],표1[[#This Row],[Player]])</f>
        <v>2011황재균</v>
      </c>
      <c r="B398">
        <v>2011</v>
      </c>
      <c r="C398">
        <v>17</v>
      </c>
      <c r="D398" t="s">
        <v>118</v>
      </c>
      <c r="E398" t="s">
        <v>17</v>
      </c>
      <c r="F398">
        <v>0.28899999999999998</v>
      </c>
      <c r="G398">
        <v>117</v>
      </c>
      <c r="H398">
        <v>458</v>
      </c>
      <c r="I398">
        <v>398</v>
      </c>
      <c r="J398">
        <v>62</v>
      </c>
      <c r="K398">
        <v>115</v>
      </c>
      <c r="L398">
        <f>표1[[#This Row],[H]]-표1[[#This Row],[2B]]-표1[[#This Row],[3B]]-표1[[#This Row],[HR]]</f>
        <v>81</v>
      </c>
      <c r="M398">
        <v>18</v>
      </c>
      <c r="N398">
        <v>4</v>
      </c>
      <c r="O398">
        <v>12</v>
      </c>
      <c r="P398">
        <v>177</v>
      </c>
      <c r="Q398">
        <v>68</v>
      </c>
      <c r="R398">
        <v>3</v>
      </c>
      <c r="S398">
        <v>8</v>
      </c>
      <c r="T398">
        <v>40</v>
      </c>
      <c r="U398">
        <v>1</v>
      </c>
      <c r="V398">
        <v>12</v>
      </c>
      <c r="W398">
        <v>6</v>
      </c>
      <c r="X398">
        <v>9</v>
      </c>
      <c r="Y398">
        <v>78</v>
      </c>
      <c r="Z398">
        <v>9</v>
      </c>
      <c r="AA398">
        <v>0.44500000000000001</v>
      </c>
      <c r="AB398">
        <v>0.36</v>
      </c>
      <c r="AC398">
        <v>0.80500000000000005</v>
      </c>
      <c r="AD398">
        <v>33</v>
      </c>
      <c r="AE398">
        <v>0.25900000000000001</v>
      </c>
      <c r="AF398">
        <v>0</v>
      </c>
      <c r="AG398">
        <f>(표1[[#This Row],[TB]]-표1[[#This Row],[H]])/표1[[#This Row],[AB]]</f>
        <v>0.15577889447236182</v>
      </c>
      <c r="AH398">
        <f>(표1[[#This Row],[TB]]-표1[[#This Row],[H]]+표1[[#This Row],[BB]]+표1[[#This Row],[SB]]-표1[[#This Row],[CS]])/표1[[#This Row],[AB]]</f>
        <v>0.271356783919598</v>
      </c>
      <c r="AI398">
        <f>(표1[[#This Row],[TB]]+표1[[#This Row],[BB]]+표1[[#This Row],[HBP]]+표1[[#This Row],[SB]]-표1[[#This Row],[CS]])/(표1[[#This Row],[AB]]-표1[[#This Row],[H]]+표1[[#This Row],[CS]]+표1[[#This Row],[GDP]])</f>
        <v>0.77852348993288589</v>
      </c>
      <c r="AJ39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65.533973799126642</v>
      </c>
      <c r="AK398">
        <f>표1[[#This Row],[RC]]/((표1[[#This Row],[AB]]-표1[[#This Row],[H]]+표1[[#This Row],[SAC]]+표1[[#This Row],[SF]]+표1[[#This Row],[CS]]+표1[[#This Row],[GDP]])/27)</f>
        <v>5.7262695552634932</v>
      </c>
      <c r="AL39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0.34965859030836999</v>
      </c>
      <c r="AM39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65.366</v>
      </c>
    </row>
    <row r="399" spans="1:39" x14ac:dyDescent="0.3">
      <c r="A399" t="str">
        <f>_xlfn.CONCAT(표1[[#This Row],[Year]],표1[[#This Row],[Player]])</f>
        <v>2011강민호</v>
      </c>
      <c r="B399">
        <v>2011</v>
      </c>
      <c r="C399">
        <v>18</v>
      </c>
      <c r="D399" t="s">
        <v>83</v>
      </c>
      <c r="E399" t="s">
        <v>17</v>
      </c>
      <c r="F399">
        <v>0.28899999999999998</v>
      </c>
      <c r="G399">
        <v>124</v>
      </c>
      <c r="H399">
        <v>506</v>
      </c>
      <c r="I399">
        <v>450</v>
      </c>
      <c r="J399">
        <v>63</v>
      </c>
      <c r="K399">
        <v>130</v>
      </c>
      <c r="L399">
        <f>표1[[#This Row],[H]]-표1[[#This Row],[2B]]-표1[[#This Row],[3B]]-표1[[#This Row],[HR]]</f>
        <v>84</v>
      </c>
      <c r="M399">
        <v>25</v>
      </c>
      <c r="N399">
        <v>2</v>
      </c>
      <c r="O399">
        <v>19</v>
      </c>
      <c r="P399">
        <v>216</v>
      </c>
      <c r="Q399">
        <v>66</v>
      </c>
      <c r="R399">
        <v>0</v>
      </c>
      <c r="S399">
        <v>1</v>
      </c>
      <c r="T399">
        <v>47</v>
      </c>
      <c r="U399">
        <v>2</v>
      </c>
      <c r="V399">
        <v>4</v>
      </c>
      <c r="W399">
        <v>6</v>
      </c>
      <c r="X399">
        <v>8</v>
      </c>
      <c r="Y399">
        <v>81</v>
      </c>
      <c r="Z399">
        <v>18</v>
      </c>
      <c r="AA399">
        <v>0.48</v>
      </c>
      <c r="AB399">
        <v>0.36599999999999999</v>
      </c>
      <c r="AC399">
        <v>0.84599999999999997</v>
      </c>
      <c r="AD399">
        <v>39</v>
      </c>
      <c r="AE399">
        <v>0.25700000000000001</v>
      </c>
      <c r="AF399">
        <v>0</v>
      </c>
      <c r="AG399">
        <f>(표1[[#This Row],[TB]]-표1[[#This Row],[H]])/표1[[#This Row],[AB]]</f>
        <v>0.19111111111111112</v>
      </c>
      <c r="AH399">
        <f>(표1[[#This Row],[TB]]-표1[[#This Row],[H]]+표1[[#This Row],[BB]]+표1[[#This Row],[SB]]-표1[[#This Row],[CS]])/표1[[#This Row],[AB]]</f>
        <v>0.2911111111111111</v>
      </c>
      <c r="AI399">
        <f>(표1[[#This Row],[TB]]+표1[[#This Row],[BB]]+표1[[#This Row],[HBP]]+표1[[#This Row],[SB]]-표1[[#This Row],[CS]])/(표1[[#This Row],[AB]]-표1[[#This Row],[H]]+표1[[#This Row],[CS]]+표1[[#This Row],[GDP]])</f>
        <v>0.78197674418604646</v>
      </c>
      <c r="AJ39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73.939090909090908</v>
      </c>
      <c r="AK399">
        <f>표1[[#This Row],[RC]]/((표1[[#This Row],[AB]]-표1[[#This Row],[H]]+표1[[#This Row],[SAC]]+표1[[#This Row],[SF]]+표1[[#This Row],[CS]]+표1[[#This Row],[GDP]])/27)</f>
        <v>5.7865375494071145</v>
      </c>
      <c r="AL39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0.36674603174603176</v>
      </c>
      <c r="AM39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71.022000000000006</v>
      </c>
    </row>
    <row r="400" spans="1:39" x14ac:dyDescent="0.3">
      <c r="A400" t="str">
        <f>_xlfn.CONCAT(표1[[#This Row],[Year]],표1[[#This Row],[Player]])</f>
        <v>2011유한준</v>
      </c>
      <c r="B400">
        <v>2011</v>
      </c>
      <c r="C400">
        <v>19</v>
      </c>
      <c r="D400" t="s">
        <v>127</v>
      </c>
      <c r="E400" t="s">
        <v>125</v>
      </c>
      <c r="F400">
        <v>0.28899999999999998</v>
      </c>
      <c r="G400">
        <v>121</v>
      </c>
      <c r="H400">
        <v>511</v>
      </c>
      <c r="I400">
        <v>447</v>
      </c>
      <c r="J400">
        <v>64</v>
      </c>
      <c r="K400">
        <v>129</v>
      </c>
      <c r="L400">
        <f>표1[[#This Row],[H]]-표1[[#This Row],[2B]]-표1[[#This Row],[3B]]-표1[[#This Row],[HR]]</f>
        <v>101</v>
      </c>
      <c r="M400">
        <v>23</v>
      </c>
      <c r="N400">
        <v>2</v>
      </c>
      <c r="O400">
        <v>3</v>
      </c>
      <c r="P400">
        <v>165</v>
      </c>
      <c r="Q400">
        <v>54</v>
      </c>
      <c r="R400">
        <v>4</v>
      </c>
      <c r="S400">
        <v>4</v>
      </c>
      <c r="T400">
        <v>52</v>
      </c>
      <c r="U400">
        <v>3</v>
      </c>
      <c r="V400">
        <v>4</v>
      </c>
      <c r="W400">
        <v>3</v>
      </c>
      <c r="X400">
        <v>4</v>
      </c>
      <c r="Y400">
        <v>63</v>
      </c>
      <c r="Z400">
        <v>11</v>
      </c>
      <c r="AA400">
        <v>0.36899999999999999</v>
      </c>
      <c r="AB400">
        <v>0.36499999999999999</v>
      </c>
      <c r="AC400">
        <v>0.73399999999999999</v>
      </c>
      <c r="AD400">
        <v>31</v>
      </c>
      <c r="AE400">
        <v>0.31</v>
      </c>
      <c r="AF400">
        <v>0</v>
      </c>
      <c r="AG400">
        <f>(표1[[#This Row],[TB]]-표1[[#This Row],[H]])/표1[[#This Row],[AB]]</f>
        <v>8.0536912751677847E-2</v>
      </c>
      <c r="AH400">
        <f>(표1[[#This Row],[TB]]-표1[[#This Row],[H]]+표1[[#This Row],[BB]]+표1[[#This Row],[SB]]-표1[[#This Row],[CS]])/표1[[#This Row],[AB]]</f>
        <v>0.19910514541387025</v>
      </c>
      <c r="AI400">
        <f>(표1[[#This Row],[TB]]+표1[[#This Row],[BB]]+표1[[#This Row],[HBP]]+표1[[#This Row],[SB]]-표1[[#This Row],[CS]])/(표1[[#This Row],[AB]]-표1[[#This Row],[H]]+표1[[#This Row],[CS]]+표1[[#This Row],[GDP]])</f>
        <v>0.66867469879518071</v>
      </c>
      <c r="AJ40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61.914716242661449</v>
      </c>
      <c r="AK400">
        <f>표1[[#This Row],[RC]]/((표1[[#This Row],[AB]]-표1[[#This Row],[H]]+표1[[#This Row],[SAC]]+표1[[#This Row],[SF]]+표1[[#This Row],[CS]]+표1[[#This Row],[GDP]])/27)</f>
        <v>4.916756878093703</v>
      </c>
      <c r="AL40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0.32599603174603181</v>
      </c>
      <c r="AM40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60.436</v>
      </c>
    </row>
    <row r="401" spans="1:39" x14ac:dyDescent="0.3">
      <c r="A401" t="str">
        <f>_xlfn.CONCAT(표1[[#This Row],[Year]],표1[[#This Row],[Player]])</f>
        <v>2011강동우</v>
      </c>
      <c r="B401">
        <v>2011</v>
      </c>
      <c r="C401">
        <v>20</v>
      </c>
      <c r="D401" t="s">
        <v>39</v>
      </c>
      <c r="E401" t="s">
        <v>11</v>
      </c>
      <c r="F401">
        <v>0.28799999999999998</v>
      </c>
      <c r="G401">
        <v>133</v>
      </c>
      <c r="H401">
        <v>599</v>
      </c>
      <c r="I401">
        <v>518</v>
      </c>
      <c r="J401">
        <v>83</v>
      </c>
      <c r="K401">
        <v>149</v>
      </c>
      <c r="L401">
        <f>표1[[#This Row],[H]]-표1[[#This Row],[2B]]-표1[[#This Row],[3B]]-표1[[#This Row],[HR]]</f>
        <v>120</v>
      </c>
      <c r="M401">
        <v>13</v>
      </c>
      <c r="N401">
        <v>3</v>
      </c>
      <c r="O401">
        <v>13</v>
      </c>
      <c r="P401">
        <v>207</v>
      </c>
      <c r="Q401">
        <v>51</v>
      </c>
      <c r="R401">
        <v>12</v>
      </c>
      <c r="S401">
        <v>4</v>
      </c>
      <c r="T401">
        <v>62</v>
      </c>
      <c r="U401">
        <v>1</v>
      </c>
      <c r="V401">
        <v>17</v>
      </c>
      <c r="W401">
        <v>15</v>
      </c>
      <c r="X401">
        <v>2</v>
      </c>
      <c r="Y401">
        <v>71</v>
      </c>
      <c r="Z401">
        <v>9</v>
      </c>
      <c r="AA401">
        <v>0.4</v>
      </c>
      <c r="AB401">
        <v>0.36299999999999999</v>
      </c>
      <c r="AC401">
        <v>0.76300000000000001</v>
      </c>
      <c r="AD401">
        <v>41</v>
      </c>
      <c r="AE401">
        <v>0.312</v>
      </c>
      <c r="AF401">
        <v>0</v>
      </c>
      <c r="AG401">
        <f>(표1[[#This Row],[TB]]-표1[[#This Row],[H]])/표1[[#This Row],[AB]]</f>
        <v>0.11196911196911197</v>
      </c>
      <c r="AH401">
        <f>(표1[[#This Row],[TB]]-표1[[#This Row],[H]]+표1[[#This Row],[BB]]+표1[[#This Row],[SB]]-표1[[#This Row],[CS]])/표1[[#This Row],[AB]]</f>
        <v>0.23552123552123552</v>
      </c>
      <c r="AI401">
        <f>(표1[[#This Row],[TB]]+표1[[#This Row],[BB]]+표1[[#This Row],[HBP]]+표1[[#This Row],[SB]]-표1[[#This Row],[CS]])/(표1[[#This Row],[AB]]-표1[[#This Row],[H]]+표1[[#This Row],[CS]]+표1[[#This Row],[GDP]])</f>
        <v>0.69465648854961837</v>
      </c>
      <c r="AJ40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76.023511705685621</v>
      </c>
      <c r="AK401">
        <f>표1[[#This Row],[RC]]/((표1[[#This Row],[AB]]-표1[[#This Row],[H]]+표1[[#This Row],[SAC]]+표1[[#This Row],[SF]]+표1[[#This Row],[CS]]+표1[[#This Row],[GDP]])/27)</f>
        <v>5.0186670319156761</v>
      </c>
      <c r="AL40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0.33769059829059828</v>
      </c>
      <c r="AM40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75.982000000000014</v>
      </c>
    </row>
    <row r="402" spans="1:39" x14ac:dyDescent="0.3">
      <c r="A402" t="str">
        <f>_xlfn.CONCAT(표1[[#This Row],[Year]],표1[[#This Row],[Player]])</f>
        <v>2011김동주</v>
      </c>
      <c r="B402">
        <v>2011</v>
      </c>
      <c r="C402">
        <v>21</v>
      </c>
      <c r="D402" t="s">
        <v>0</v>
      </c>
      <c r="E402" t="s">
        <v>1</v>
      </c>
      <c r="F402">
        <v>0.28599999999999998</v>
      </c>
      <c r="G402">
        <v>120</v>
      </c>
      <c r="H402">
        <v>483</v>
      </c>
      <c r="I402">
        <v>406</v>
      </c>
      <c r="J402">
        <v>57</v>
      </c>
      <c r="K402">
        <v>116</v>
      </c>
      <c r="L402">
        <f>표1[[#This Row],[H]]-표1[[#This Row],[2B]]-표1[[#This Row],[3B]]-표1[[#This Row],[HR]]</f>
        <v>74</v>
      </c>
      <c r="M402">
        <v>24</v>
      </c>
      <c r="N402">
        <v>1</v>
      </c>
      <c r="O402">
        <v>17</v>
      </c>
      <c r="P402">
        <v>193</v>
      </c>
      <c r="Q402">
        <v>75</v>
      </c>
      <c r="R402">
        <v>0</v>
      </c>
      <c r="S402">
        <v>3</v>
      </c>
      <c r="T402">
        <v>66</v>
      </c>
      <c r="U402">
        <v>5</v>
      </c>
      <c r="V402">
        <v>6</v>
      </c>
      <c r="W402">
        <v>1</v>
      </c>
      <c r="X402">
        <v>8</v>
      </c>
      <c r="Y402">
        <v>54</v>
      </c>
      <c r="Z402">
        <v>18</v>
      </c>
      <c r="AA402">
        <v>0.47499999999999998</v>
      </c>
      <c r="AB402">
        <v>0.39300000000000002</v>
      </c>
      <c r="AC402">
        <v>0.86799999999999999</v>
      </c>
      <c r="AD402">
        <v>32</v>
      </c>
      <c r="AE402">
        <v>0.34399999999999997</v>
      </c>
      <c r="AF402">
        <v>0.4</v>
      </c>
      <c r="AG402">
        <f>(표1[[#This Row],[TB]]-표1[[#This Row],[H]])/표1[[#This Row],[AB]]</f>
        <v>0.18965517241379309</v>
      </c>
      <c r="AH402">
        <f>(표1[[#This Row],[TB]]-표1[[#This Row],[H]]+표1[[#This Row],[BB]]+표1[[#This Row],[SB]]-표1[[#This Row],[CS]])/표1[[#This Row],[AB]]</f>
        <v>0.3645320197044335</v>
      </c>
      <c r="AI402">
        <f>(표1[[#This Row],[TB]]+표1[[#This Row],[BB]]+표1[[#This Row],[HBP]]+표1[[#This Row],[SB]]-표1[[#This Row],[CS]])/(표1[[#This Row],[AB]]-표1[[#This Row],[H]]+표1[[#This Row],[CS]]+표1[[#This Row],[GDP]])</f>
        <v>0.88025889967637538</v>
      </c>
      <c r="AJ40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76.337515527950316</v>
      </c>
      <c r="AK402">
        <f>표1[[#This Row],[RC]]/((표1[[#This Row],[AB]]-표1[[#This Row],[H]]+표1[[#This Row],[SAC]]+표1[[#This Row],[SF]]+표1[[#This Row],[CS]]+표1[[#This Row],[GDP]])/27)</f>
        <v>6.6061311514572392</v>
      </c>
      <c r="AL40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0.37675732217573216</v>
      </c>
      <c r="AM40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73.188000000000002</v>
      </c>
    </row>
    <row r="403" spans="1:39" x14ac:dyDescent="0.3">
      <c r="A403" t="str">
        <f>_xlfn.CONCAT(표1[[#This Row],[Year]],표1[[#This Row],[Player]])</f>
        <v>2011정수빈</v>
      </c>
      <c r="B403">
        <v>2011</v>
      </c>
      <c r="C403">
        <v>22</v>
      </c>
      <c r="D403" t="s">
        <v>138</v>
      </c>
      <c r="E403" t="s">
        <v>1</v>
      </c>
      <c r="F403">
        <v>0.28499999999999998</v>
      </c>
      <c r="G403">
        <v>128</v>
      </c>
      <c r="H403">
        <v>476</v>
      </c>
      <c r="I403">
        <v>414</v>
      </c>
      <c r="J403">
        <v>66</v>
      </c>
      <c r="K403">
        <v>118</v>
      </c>
      <c r="L403">
        <f>표1[[#This Row],[H]]-표1[[#This Row],[2B]]-표1[[#This Row],[3B]]-표1[[#This Row],[HR]]</f>
        <v>92</v>
      </c>
      <c r="M403">
        <v>17</v>
      </c>
      <c r="N403">
        <v>8</v>
      </c>
      <c r="O403">
        <v>1</v>
      </c>
      <c r="P403">
        <v>154</v>
      </c>
      <c r="Q403">
        <v>38</v>
      </c>
      <c r="R403">
        <v>8</v>
      </c>
      <c r="S403">
        <v>3</v>
      </c>
      <c r="T403">
        <v>40</v>
      </c>
      <c r="U403">
        <v>0</v>
      </c>
      <c r="V403">
        <v>31</v>
      </c>
      <c r="W403">
        <v>8</v>
      </c>
      <c r="X403">
        <v>11</v>
      </c>
      <c r="Y403">
        <v>77</v>
      </c>
      <c r="Z403">
        <v>5</v>
      </c>
      <c r="AA403">
        <v>0.372</v>
      </c>
      <c r="AB403">
        <v>0.36099999999999999</v>
      </c>
      <c r="AC403">
        <v>0.73299999999999998</v>
      </c>
      <c r="AD403">
        <v>31</v>
      </c>
      <c r="AE403">
        <v>0.30299999999999999</v>
      </c>
      <c r="AF403">
        <v>0.2</v>
      </c>
      <c r="AG403">
        <f>(표1[[#This Row],[TB]]-표1[[#This Row],[H]])/표1[[#This Row],[AB]]</f>
        <v>8.6956521739130432E-2</v>
      </c>
      <c r="AH403">
        <f>(표1[[#This Row],[TB]]-표1[[#This Row],[H]]+표1[[#This Row],[BB]]+표1[[#This Row],[SB]]-표1[[#This Row],[CS]])/표1[[#This Row],[AB]]</f>
        <v>0.2391304347826087</v>
      </c>
      <c r="AI403">
        <f>(표1[[#This Row],[TB]]+표1[[#This Row],[BB]]+표1[[#This Row],[HBP]]+표1[[#This Row],[SB]]-표1[[#This Row],[CS]])/(표1[[#This Row],[AB]]-표1[[#This Row],[H]]+표1[[#This Row],[CS]]+표1[[#This Row],[GDP]])</f>
        <v>0.73786407766990292</v>
      </c>
      <c r="AJ40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61.973949579831931</v>
      </c>
      <c r="AK403">
        <f>표1[[#This Row],[RC]]/((표1[[#This Row],[AB]]-표1[[#This Row],[H]]+표1[[#This Row],[SAC]]+표1[[#This Row],[SF]]+표1[[#This Row],[CS]]+표1[[#This Row],[GDP]])/27)</f>
        <v>5.2290519957983195</v>
      </c>
      <c r="AL40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0.32709615384615381</v>
      </c>
      <c r="AM40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60.684000000000005</v>
      </c>
    </row>
    <row r="404" spans="1:39" x14ac:dyDescent="0.3">
      <c r="A404" t="str">
        <f>_xlfn.CONCAT(표1[[#This Row],[Year]],표1[[#This Row],[Player]])</f>
        <v>2011강정호</v>
      </c>
      <c r="B404">
        <v>2011</v>
      </c>
      <c r="C404">
        <v>23</v>
      </c>
      <c r="D404" t="s">
        <v>106</v>
      </c>
      <c r="E404" t="s">
        <v>125</v>
      </c>
      <c r="F404">
        <v>0.28199999999999997</v>
      </c>
      <c r="G404">
        <v>123</v>
      </c>
      <c r="H404">
        <v>504</v>
      </c>
      <c r="I404">
        <v>444</v>
      </c>
      <c r="J404">
        <v>53</v>
      </c>
      <c r="K404">
        <v>125</v>
      </c>
      <c r="L404">
        <f>표1[[#This Row],[H]]-표1[[#This Row],[2B]]-표1[[#This Row],[3B]]-표1[[#This Row],[HR]]</f>
        <v>92</v>
      </c>
      <c r="M404">
        <v>22</v>
      </c>
      <c r="N404">
        <v>2</v>
      </c>
      <c r="O404">
        <v>9</v>
      </c>
      <c r="P404">
        <v>178</v>
      </c>
      <c r="Q404">
        <v>63</v>
      </c>
      <c r="R404">
        <v>3</v>
      </c>
      <c r="S404">
        <v>5</v>
      </c>
      <c r="T404">
        <v>43</v>
      </c>
      <c r="U404">
        <v>4</v>
      </c>
      <c r="V404">
        <v>4</v>
      </c>
      <c r="W404">
        <v>6</v>
      </c>
      <c r="X404">
        <v>9</v>
      </c>
      <c r="Y404">
        <v>62</v>
      </c>
      <c r="Z404">
        <v>12</v>
      </c>
      <c r="AA404">
        <v>0.40100000000000002</v>
      </c>
      <c r="AB404">
        <v>0.35299999999999998</v>
      </c>
      <c r="AC404">
        <v>0.754</v>
      </c>
      <c r="AD404">
        <v>36</v>
      </c>
      <c r="AE404">
        <v>0.314</v>
      </c>
      <c r="AF404">
        <v>0</v>
      </c>
      <c r="AG404">
        <f>(표1[[#This Row],[TB]]-표1[[#This Row],[H]])/표1[[#This Row],[AB]]</f>
        <v>0.11936936936936937</v>
      </c>
      <c r="AH404">
        <f>(표1[[#This Row],[TB]]-표1[[#This Row],[H]]+표1[[#This Row],[BB]]+표1[[#This Row],[SB]]-표1[[#This Row],[CS]])/표1[[#This Row],[AB]]</f>
        <v>0.21171171171171171</v>
      </c>
      <c r="AI404">
        <f>(표1[[#This Row],[TB]]+표1[[#This Row],[BB]]+표1[[#This Row],[HBP]]+표1[[#This Row],[SB]]-표1[[#This Row],[CS]])/(표1[[#This Row],[AB]]-표1[[#This Row],[H]]+표1[[#This Row],[CS]]+표1[[#This Row],[GDP]])</f>
        <v>0.67655786350148372</v>
      </c>
      <c r="AJ40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62.060476190476187</v>
      </c>
      <c r="AK404">
        <f>표1[[#This Row],[RC]]/((표1[[#This Row],[AB]]-표1[[#This Row],[H]]+표1[[#This Row],[SAC]]+표1[[#This Row],[SF]]+표1[[#This Row],[CS]]+표1[[#This Row],[GDP]])/27)</f>
        <v>4.8569068322981357</v>
      </c>
      <c r="AL40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0.33025553319919515</v>
      </c>
      <c r="AM40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61.324000000000005</v>
      </c>
    </row>
    <row r="405" spans="1:39" x14ac:dyDescent="0.3">
      <c r="A405" t="str">
        <f>_xlfn.CONCAT(표1[[#This Row],[Year]],표1[[#This Row],[Player]])</f>
        <v>2011김상수</v>
      </c>
      <c r="B405">
        <v>2011</v>
      </c>
      <c r="C405">
        <v>24</v>
      </c>
      <c r="D405" t="s">
        <v>139</v>
      </c>
      <c r="E405" t="s">
        <v>6</v>
      </c>
      <c r="F405">
        <v>0.27800000000000002</v>
      </c>
      <c r="G405">
        <v>128</v>
      </c>
      <c r="H405">
        <v>476</v>
      </c>
      <c r="I405">
        <v>406</v>
      </c>
      <c r="J405">
        <v>53</v>
      </c>
      <c r="K405">
        <v>113</v>
      </c>
      <c r="L405">
        <f>표1[[#This Row],[H]]-표1[[#This Row],[2B]]-표1[[#This Row],[3B]]-표1[[#This Row],[HR]]</f>
        <v>91</v>
      </c>
      <c r="M405">
        <v>16</v>
      </c>
      <c r="N405">
        <v>4</v>
      </c>
      <c r="O405">
        <v>2</v>
      </c>
      <c r="P405">
        <v>143</v>
      </c>
      <c r="Q405">
        <v>47</v>
      </c>
      <c r="R405">
        <v>15</v>
      </c>
      <c r="S405">
        <v>1</v>
      </c>
      <c r="T405">
        <v>47</v>
      </c>
      <c r="U405">
        <v>1</v>
      </c>
      <c r="V405">
        <v>29</v>
      </c>
      <c r="W405">
        <v>7</v>
      </c>
      <c r="X405">
        <v>7</v>
      </c>
      <c r="Y405">
        <v>61</v>
      </c>
      <c r="Z405">
        <v>7</v>
      </c>
      <c r="AA405">
        <v>0.35199999999999998</v>
      </c>
      <c r="AB405">
        <v>0.36199999999999999</v>
      </c>
      <c r="AC405">
        <v>0.71399999999999997</v>
      </c>
      <c r="AD405">
        <v>29</v>
      </c>
      <c r="AE405">
        <v>0.29199999999999998</v>
      </c>
      <c r="AF405">
        <v>0</v>
      </c>
      <c r="AG405">
        <f>(표1[[#This Row],[TB]]-표1[[#This Row],[H]])/표1[[#This Row],[AB]]</f>
        <v>7.3891625615763554E-2</v>
      </c>
      <c r="AH405">
        <f>(표1[[#This Row],[TB]]-표1[[#This Row],[H]]+표1[[#This Row],[BB]]+표1[[#This Row],[SB]]-표1[[#This Row],[CS]])/표1[[#This Row],[AB]]</f>
        <v>0.24384236453201971</v>
      </c>
      <c r="AI405">
        <f>(표1[[#This Row],[TB]]+표1[[#This Row],[BB]]+표1[[#This Row],[HBP]]+표1[[#This Row],[SB]]-표1[[#This Row],[CS]])/(표1[[#This Row],[AB]]-표1[[#This Row],[H]]+표1[[#This Row],[CS]]+표1[[#This Row],[GDP]])</f>
        <v>0.71335504885993484</v>
      </c>
      <c r="AJ40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57.914999999999999</v>
      </c>
      <c r="AK405">
        <f>표1[[#This Row],[RC]]/((표1[[#This Row],[AB]]-표1[[#This Row],[H]]+표1[[#This Row],[SAC]]+표1[[#This Row],[SF]]+표1[[#This Row],[CS]]+표1[[#This Row],[GDP]])/27)</f>
        <v>4.8411919504643963</v>
      </c>
      <c r="AL40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0.32148695652173903</v>
      </c>
      <c r="AM40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56.831999999999994</v>
      </c>
    </row>
    <row r="406" spans="1:39" x14ac:dyDescent="0.3">
      <c r="A406" t="str">
        <f>_xlfn.CONCAT(표1[[#This Row],[Year]],표1[[#This Row],[Player]])</f>
        <v>2011박석민</v>
      </c>
      <c r="B406">
        <v>2011</v>
      </c>
      <c r="C406">
        <v>25</v>
      </c>
      <c r="D406" t="s">
        <v>104</v>
      </c>
      <c r="E406" t="s">
        <v>6</v>
      </c>
      <c r="F406">
        <v>0.27800000000000002</v>
      </c>
      <c r="G406">
        <v>128</v>
      </c>
      <c r="H406">
        <v>537</v>
      </c>
      <c r="I406">
        <v>457</v>
      </c>
      <c r="J406">
        <v>74</v>
      </c>
      <c r="K406">
        <v>127</v>
      </c>
      <c r="L406">
        <f>표1[[#This Row],[H]]-표1[[#This Row],[2B]]-표1[[#This Row],[3B]]-표1[[#This Row],[HR]]</f>
        <v>85</v>
      </c>
      <c r="M406">
        <v>24</v>
      </c>
      <c r="N406">
        <v>3</v>
      </c>
      <c r="O406">
        <v>15</v>
      </c>
      <c r="P406">
        <v>202</v>
      </c>
      <c r="Q406">
        <v>86</v>
      </c>
      <c r="R406">
        <v>5</v>
      </c>
      <c r="S406">
        <v>3</v>
      </c>
      <c r="T406">
        <v>59</v>
      </c>
      <c r="U406">
        <v>1</v>
      </c>
      <c r="V406">
        <v>3</v>
      </c>
      <c r="W406">
        <v>1</v>
      </c>
      <c r="X406">
        <v>13</v>
      </c>
      <c r="Y406">
        <v>105</v>
      </c>
      <c r="Z406">
        <v>13</v>
      </c>
      <c r="AA406">
        <v>0.442</v>
      </c>
      <c r="AB406">
        <v>0.374</v>
      </c>
      <c r="AC406">
        <v>0.81599999999999995</v>
      </c>
      <c r="AD406">
        <v>32</v>
      </c>
      <c r="AE406">
        <v>0.32400000000000001</v>
      </c>
      <c r="AF406">
        <v>0</v>
      </c>
      <c r="AG406">
        <f>(표1[[#This Row],[TB]]-표1[[#This Row],[H]])/표1[[#This Row],[AB]]</f>
        <v>0.16411378555798686</v>
      </c>
      <c r="AH406">
        <f>(표1[[#This Row],[TB]]-표1[[#This Row],[H]]+표1[[#This Row],[BB]]+표1[[#This Row],[SB]]-표1[[#This Row],[CS]])/표1[[#This Row],[AB]]</f>
        <v>0.2975929978118162</v>
      </c>
      <c r="AI406">
        <f>(표1[[#This Row],[TB]]+표1[[#This Row],[BB]]+표1[[#This Row],[HBP]]+표1[[#This Row],[SB]]-표1[[#This Row],[CS]])/(표1[[#This Row],[AB]]-표1[[#This Row],[H]]+표1[[#This Row],[CS]]+표1[[#This Row],[GDP]])</f>
        <v>0.80232558139534882</v>
      </c>
      <c r="AJ40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77.920484171322173</v>
      </c>
      <c r="AK406">
        <f>표1[[#This Row],[RC]]/((표1[[#This Row],[AB]]-표1[[#This Row],[H]]+표1[[#This Row],[SAC]]+표1[[#This Row],[SF]]+표1[[#This Row],[CS]]+표1[[#This Row],[GDP]])/27)</f>
        <v>5.9768553199593715</v>
      </c>
      <c r="AL40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0.35860828625235402</v>
      </c>
      <c r="AM40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75.070000000000007</v>
      </c>
    </row>
    <row r="407" spans="1:39" x14ac:dyDescent="0.3">
      <c r="A407" t="str">
        <f>_xlfn.CONCAT(표1[[#This Row],[Year]],표1[[#This Row],[Player]])</f>
        <v>2011오재원</v>
      </c>
      <c r="B407">
        <v>2011</v>
      </c>
      <c r="C407">
        <v>26</v>
      </c>
      <c r="D407" t="s">
        <v>129</v>
      </c>
      <c r="E407" t="s">
        <v>1</v>
      </c>
      <c r="F407">
        <v>0.27700000000000002</v>
      </c>
      <c r="G407">
        <v>129</v>
      </c>
      <c r="H407">
        <v>529</v>
      </c>
      <c r="I407">
        <v>466</v>
      </c>
      <c r="J407">
        <v>73</v>
      </c>
      <c r="K407">
        <v>129</v>
      </c>
      <c r="L407">
        <f>표1[[#This Row],[H]]-표1[[#This Row],[2B]]-표1[[#This Row],[3B]]-표1[[#This Row],[HR]]</f>
        <v>101</v>
      </c>
      <c r="M407">
        <v>18</v>
      </c>
      <c r="N407">
        <v>4</v>
      </c>
      <c r="O407">
        <v>6</v>
      </c>
      <c r="P407">
        <v>173</v>
      </c>
      <c r="Q407">
        <v>46</v>
      </c>
      <c r="R407">
        <v>12</v>
      </c>
      <c r="S407">
        <v>3</v>
      </c>
      <c r="T407">
        <v>39</v>
      </c>
      <c r="U407">
        <v>0</v>
      </c>
      <c r="V407">
        <v>46</v>
      </c>
      <c r="W407">
        <v>7</v>
      </c>
      <c r="X407">
        <v>9</v>
      </c>
      <c r="Y407">
        <v>62</v>
      </c>
      <c r="Z407">
        <v>6</v>
      </c>
      <c r="AA407">
        <v>0.371</v>
      </c>
      <c r="AB407">
        <v>0.34200000000000003</v>
      </c>
      <c r="AC407">
        <v>0.71299999999999997</v>
      </c>
      <c r="AD407">
        <v>32</v>
      </c>
      <c r="AE407">
        <v>0.26400000000000001</v>
      </c>
      <c r="AF407">
        <v>0</v>
      </c>
      <c r="AG407">
        <f>(표1[[#This Row],[TB]]-표1[[#This Row],[H]])/표1[[#This Row],[AB]]</f>
        <v>9.4420600858369105E-2</v>
      </c>
      <c r="AH407">
        <f>(표1[[#This Row],[TB]]-표1[[#This Row],[H]]+표1[[#This Row],[BB]]+표1[[#This Row],[SB]]-표1[[#This Row],[CS]])/표1[[#This Row],[AB]]</f>
        <v>0.26180257510729615</v>
      </c>
      <c r="AI407">
        <f>(표1[[#This Row],[TB]]+표1[[#This Row],[BB]]+표1[[#This Row],[HBP]]+표1[[#This Row],[SB]]-표1[[#This Row],[CS]])/(표1[[#This Row],[AB]]-표1[[#This Row],[H]]+표1[[#This Row],[CS]]+표1[[#This Row],[GDP]])</f>
        <v>0.74285714285714288</v>
      </c>
      <c r="AJ40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67.33610586011342</v>
      </c>
      <c r="AK407">
        <f>표1[[#This Row],[RC]]/((표1[[#This Row],[AB]]-표1[[#This Row],[H]]+표1[[#This Row],[SAC]]+표1[[#This Row],[SF]]+표1[[#This Row],[CS]]+표1[[#This Row],[GDP]])/27)</f>
        <v>4.9810270088303072</v>
      </c>
      <c r="AL40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0.31736363636363635</v>
      </c>
      <c r="AM40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67.164000000000016</v>
      </c>
    </row>
    <row r="408" spans="1:39" x14ac:dyDescent="0.3">
      <c r="A408" t="str">
        <f>_xlfn.CONCAT(표1[[#This Row],[Year]],표1[[#This Row],[Player]])</f>
        <v>2011최진행</v>
      </c>
      <c r="B408">
        <v>2011</v>
      </c>
      <c r="C408">
        <v>27</v>
      </c>
      <c r="D408" t="s">
        <v>133</v>
      </c>
      <c r="E408" t="s">
        <v>11</v>
      </c>
      <c r="F408">
        <v>0.27600000000000002</v>
      </c>
      <c r="G408">
        <v>127</v>
      </c>
      <c r="H408">
        <v>511</v>
      </c>
      <c r="I408">
        <v>434</v>
      </c>
      <c r="J408">
        <v>63</v>
      </c>
      <c r="K408">
        <v>120</v>
      </c>
      <c r="L408">
        <f>표1[[#This Row],[H]]-표1[[#This Row],[2B]]-표1[[#This Row],[3B]]-표1[[#This Row],[HR]]</f>
        <v>89</v>
      </c>
      <c r="M408">
        <v>11</v>
      </c>
      <c r="N408">
        <v>1</v>
      </c>
      <c r="O408">
        <v>19</v>
      </c>
      <c r="P408">
        <v>190</v>
      </c>
      <c r="Q408">
        <v>85</v>
      </c>
      <c r="R408">
        <v>0</v>
      </c>
      <c r="S408">
        <v>3</v>
      </c>
      <c r="T408">
        <v>61</v>
      </c>
      <c r="U408">
        <v>7</v>
      </c>
      <c r="V408">
        <v>3</v>
      </c>
      <c r="W408">
        <v>5</v>
      </c>
      <c r="X408">
        <v>13</v>
      </c>
      <c r="Y408">
        <v>107</v>
      </c>
      <c r="Z408">
        <v>9</v>
      </c>
      <c r="AA408">
        <v>0.438</v>
      </c>
      <c r="AB408">
        <v>0.38</v>
      </c>
      <c r="AC408">
        <v>0.81799999999999995</v>
      </c>
      <c r="AD408">
        <v>30</v>
      </c>
      <c r="AE408">
        <v>0.38600000000000001</v>
      </c>
      <c r="AF408">
        <v>0.75</v>
      </c>
      <c r="AG408">
        <f>(표1[[#This Row],[TB]]-표1[[#This Row],[H]])/표1[[#This Row],[AB]]</f>
        <v>0.16129032258064516</v>
      </c>
      <c r="AH408">
        <f>(표1[[#This Row],[TB]]-표1[[#This Row],[H]]+표1[[#This Row],[BB]]+표1[[#This Row],[SB]]-표1[[#This Row],[CS]])/표1[[#This Row],[AB]]</f>
        <v>0.29723502304147464</v>
      </c>
      <c r="AI408">
        <f>(표1[[#This Row],[TB]]+표1[[#This Row],[BB]]+표1[[#This Row],[HBP]]+표1[[#This Row],[SB]]-표1[[#This Row],[CS]])/(표1[[#This Row],[AB]]-표1[[#This Row],[H]]+표1[[#This Row],[CS]]+표1[[#This Row],[GDP]])</f>
        <v>0.79878048780487809</v>
      </c>
      <c r="AJ40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74.162818003913898</v>
      </c>
      <c r="AK408">
        <f>표1[[#This Row],[RC]]/((표1[[#This Row],[AB]]-표1[[#This Row],[H]]+표1[[#This Row],[SAC]]+표1[[#This Row],[SF]]+표1[[#This Row],[CS]]+표1[[#This Row],[GDP]])/27)</f>
        <v>6.0495350033404085</v>
      </c>
      <c r="AL40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0.3569404761904762</v>
      </c>
      <c r="AM40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72.954000000000008</v>
      </c>
    </row>
    <row r="409" spans="1:39" x14ac:dyDescent="0.3">
      <c r="A409" t="str">
        <f>_xlfn.CONCAT(표1[[#This Row],[Year]],표1[[#This Row],[Player]])</f>
        <v>2011최준석</v>
      </c>
      <c r="B409">
        <v>2011</v>
      </c>
      <c r="C409">
        <v>28</v>
      </c>
      <c r="D409" t="s">
        <v>95</v>
      </c>
      <c r="E409" t="s">
        <v>1</v>
      </c>
      <c r="F409">
        <v>0.27100000000000002</v>
      </c>
      <c r="G409">
        <v>124</v>
      </c>
      <c r="H409">
        <v>485</v>
      </c>
      <c r="I409">
        <v>421</v>
      </c>
      <c r="J409">
        <v>49</v>
      </c>
      <c r="K409">
        <v>114</v>
      </c>
      <c r="L409">
        <f>표1[[#This Row],[H]]-표1[[#This Row],[2B]]-표1[[#This Row],[3B]]-표1[[#This Row],[HR]]</f>
        <v>73</v>
      </c>
      <c r="M409">
        <v>26</v>
      </c>
      <c r="N409">
        <v>0</v>
      </c>
      <c r="O409">
        <v>15</v>
      </c>
      <c r="P409">
        <v>185</v>
      </c>
      <c r="Q409">
        <v>75</v>
      </c>
      <c r="R409">
        <v>2</v>
      </c>
      <c r="S409">
        <v>5</v>
      </c>
      <c r="T409">
        <v>56</v>
      </c>
      <c r="U409">
        <v>1</v>
      </c>
      <c r="V409">
        <v>0</v>
      </c>
      <c r="W409">
        <v>1</v>
      </c>
      <c r="X409">
        <v>1</v>
      </c>
      <c r="Y409">
        <v>104</v>
      </c>
      <c r="Z409">
        <v>11</v>
      </c>
      <c r="AA409">
        <v>0.439</v>
      </c>
      <c r="AB409">
        <v>0.35399999999999998</v>
      </c>
      <c r="AC409">
        <v>0.79300000000000004</v>
      </c>
      <c r="AD409">
        <v>25</v>
      </c>
      <c r="AE409">
        <v>0.26300000000000001</v>
      </c>
      <c r="AF409">
        <v>0.28599999999999998</v>
      </c>
      <c r="AG409">
        <f>(표1[[#This Row],[TB]]-표1[[#This Row],[H]])/표1[[#This Row],[AB]]</f>
        <v>0.16864608076009502</v>
      </c>
      <c r="AH409">
        <f>(표1[[#This Row],[TB]]-표1[[#This Row],[H]]+표1[[#This Row],[BB]]+표1[[#This Row],[SB]]-표1[[#This Row],[CS]])/표1[[#This Row],[AB]]</f>
        <v>0.29928741092636579</v>
      </c>
      <c r="AI409">
        <f>(표1[[#This Row],[TB]]+표1[[#This Row],[BB]]+표1[[#This Row],[HBP]]+표1[[#This Row],[SB]]-표1[[#This Row],[CS]])/(표1[[#This Row],[AB]]-표1[[#This Row],[H]]+표1[[#This Row],[CS]]+표1[[#This Row],[GDP]])</f>
        <v>0.75548589341692785</v>
      </c>
      <c r="AJ40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66.616082474226801</v>
      </c>
      <c r="AK409">
        <f>표1[[#This Row],[RC]]/((표1[[#This Row],[AB]]-표1[[#This Row],[H]]+표1[[#This Row],[SAC]]+표1[[#This Row],[SF]]+표1[[#This Row],[CS]]+표1[[#This Row],[GDP]])/27)</f>
        <v>5.5172829043071276</v>
      </c>
      <c r="AL40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0.34608091286307052</v>
      </c>
      <c r="AM40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65.188000000000002</v>
      </c>
    </row>
    <row r="410" spans="1:39" x14ac:dyDescent="0.3">
      <c r="A410" t="str">
        <f>_xlfn.CONCAT(표1[[#This Row],[Year]],표1[[#This Row],[Player]])</f>
        <v>2011한상훈</v>
      </c>
      <c r="B410">
        <v>2011</v>
      </c>
      <c r="C410">
        <v>29</v>
      </c>
      <c r="D410" t="s">
        <v>140</v>
      </c>
      <c r="E410" t="s">
        <v>11</v>
      </c>
      <c r="F410">
        <v>0.26900000000000002</v>
      </c>
      <c r="G410">
        <v>131</v>
      </c>
      <c r="H410">
        <v>485</v>
      </c>
      <c r="I410">
        <v>398</v>
      </c>
      <c r="J410">
        <v>49</v>
      </c>
      <c r="K410">
        <v>107</v>
      </c>
      <c r="L410">
        <f>표1[[#This Row],[H]]-표1[[#This Row],[2B]]-표1[[#This Row],[3B]]-표1[[#This Row],[HR]]</f>
        <v>89</v>
      </c>
      <c r="M410">
        <v>12</v>
      </c>
      <c r="N410">
        <v>3</v>
      </c>
      <c r="O410">
        <v>3</v>
      </c>
      <c r="P410">
        <v>134</v>
      </c>
      <c r="Q410">
        <v>39</v>
      </c>
      <c r="R410">
        <v>33</v>
      </c>
      <c r="S410">
        <v>2</v>
      </c>
      <c r="T410">
        <v>46</v>
      </c>
      <c r="U410">
        <v>1</v>
      </c>
      <c r="V410">
        <v>16</v>
      </c>
      <c r="W410">
        <v>10</v>
      </c>
      <c r="X410">
        <v>6</v>
      </c>
      <c r="Y410">
        <v>66</v>
      </c>
      <c r="Z410">
        <v>6</v>
      </c>
      <c r="AA410">
        <v>0.33700000000000002</v>
      </c>
      <c r="AB410">
        <v>0.35199999999999998</v>
      </c>
      <c r="AC410">
        <v>0.68899999999999995</v>
      </c>
      <c r="AD410">
        <v>26</v>
      </c>
      <c r="AE410">
        <v>0.28999999999999998</v>
      </c>
      <c r="AF410">
        <v>0</v>
      </c>
      <c r="AG410">
        <f>(표1[[#This Row],[TB]]-표1[[#This Row],[H]])/표1[[#This Row],[AB]]</f>
        <v>6.78391959798995E-2</v>
      </c>
      <c r="AH410">
        <f>(표1[[#This Row],[TB]]-표1[[#This Row],[H]]+표1[[#This Row],[BB]]+표1[[#This Row],[SB]]-표1[[#This Row],[CS]])/표1[[#This Row],[AB]]</f>
        <v>0.19849246231155779</v>
      </c>
      <c r="AI410">
        <f>(표1[[#This Row],[TB]]+표1[[#This Row],[BB]]+표1[[#This Row],[HBP]]+표1[[#This Row],[SB]]-표1[[#This Row],[CS]])/(표1[[#This Row],[AB]]-표1[[#This Row],[H]]+표1[[#This Row],[CS]]+표1[[#This Row],[GDP]])</f>
        <v>0.62540716612377845</v>
      </c>
      <c r="AJ41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51.238226804123713</v>
      </c>
      <c r="AK410">
        <f>표1[[#This Row],[RC]]/((표1[[#This Row],[AB]]-표1[[#This Row],[H]]+표1[[#This Row],[SAC]]+표1[[#This Row],[SF]]+표1[[#This Row],[CS]]+표1[[#This Row],[GDP]])/27)</f>
        <v>4.0451231687466089</v>
      </c>
      <c r="AL41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0.31073170731707322</v>
      </c>
      <c r="AM41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50.972000000000008</v>
      </c>
    </row>
    <row r="411" spans="1:39" x14ac:dyDescent="0.3">
      <c r="A411" t="str">
        <f>_xlfn.CONCAT(표1[[#This Row],[Year]],표1[[#This Row],[Player]])</f>
        <v>2011조인성</v>
      </c>
      <c r="B411">
        <v>2011</v>
      </c>
      <c r="C411">
        <v>30</v>
      </c>
      <c r="D411" t="s">
        <v>43</v>
      </c>
      <c r="E411" t="s">
        <v>36</v>
      </c>
      <c r="F411">
        <v>0.26700000000000002</v>
      </c>
      <c r="G411">
        <v>117</v>
      </c>
      <c r="H411">
        <v>441</v>
      </c>
      <c r="I411">
        <v>390</v>
      </c>
      <c r="J411">
        <v>46</v>
      </c>
      <c r="K411">
        <v>104</v>
      </c>
      <c r="L411">
        <f>표1[[#This Row],[H]]-표1[[#This Row],[2B]]-표1[[#This Row],[3B]]-표1[[#This Row],[HR]]</f>
        <v>73</v>
      </c>
      <c r="M411">
        <v>14</v>
      </c>
      <c r="N411">
        <v>2</v>
      </c>
      <c r="O411">
        <v>15</v>
      </c>
      <c r="P411">
        <v>167</v>
      </c>
      <c r="Q411">
        <v>59</v>
      </c>
      <c r="R411">
        <v>2</v>
      </c>
      <c r="S411">
        <v>1</v>
      </c>
      <c r="T411">
        <v>44</v>
      </c>
      <c r="U411">
        <v>3</v>
      </c>
      <c r="V411">
        <v>2</v>
      </c>
      <c r="W411">
        <v>1</v>
      </c>
      <c r="X411">
        <v>3</v>
      </c>
      <c r="Y411">
        <v>70</v>
      </c>
      <c r="Z411">
        <v>10</v>
      </c>
      <c r="AA411">
        <v>0.42799999999999999</v>
      </c>
      <c r="AB411">
        <v>0.34499999999999997</v>
      </c>
      <c r="AC411">
        <v>0.77300000000000002</v>
      </c>
      <c r="AD411">
        <v>26</v>
      </c>
      <c r="AE411">
        <v>0.26700000000000002</v>
      </c>
      <c r="AF411">
        <v>0.33300000000000002</v>
      </c>
      <c r="AG411">
        <f>(표1[[#This Row],[TB]]-표1[[#This Row],[H]])/표1[[#This Row],[AB]]</f>
        <v>0.16153846153846155</v>
      </c>
      <c r="AH411">
        <f>(표1[[#This Row],[TB]]-표1[[#This Row],[H]]+표1[[#This Row],[BB]]+표1[[#This Row],[SB]]-표1[[#This Row],[CS]])/표1[[#This Row],[AB]]</f>
        <v>0.27692307692307694</v>
      </c>
      <c r="AI411">
        <f>(표1[[#This Row],[TB]]+표1[[#This Row],[BB]]+표1[[#This Row],[HBP]]+표1[[#This Row],[SB]]-표1[[#This Row],[CS]])/(표1[[#This Row],[AB]]-표1[[#This Row],[H]]+표1[[#This Row],[CS]]+표1[[#This Row],[GDP]])</f>
        <v>0.72390572390572394</v>
      </c>
      <c r="AJ41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57.603636363636362</v>
      </c>
      <c r="AK411">
        <f>표1[[#This Row],[RC]]/((표1[[#This Row],[AB]]-표1[[#This Row],[H]]+표1[[#This Row],[SAC]]+표1[[#This Row],[SF]]+표1[[#This Row],[CS]]+표1[[#This Row],[GDP]])/27)</f>
        <v>5.1843272727272725</v>
      </c>
      <c r="AL41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0.33720229885057468</v>
      </c>
      <c r="AM41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56.46</v>
      </c>
    </row>
    <row r="412" spans="1:39" x14ac:dyDescent="0.3">
      <c r="A412" t="str">
        <f>_xlfn.CONCAT(표1[[#This Row],[Year]],표1[[#This Row],[Player]])</f>
        <v>2011박한이</v>
      </c>
      <c r="B412">
        <v>2011</v>
      </c>
      <c r="C412">
        <v>31</v>
      </c>
      <c r="D412" t="s">
        <v>9</v>
      </c>
      <c r="E412" t="s">
        <v>6</v>
      </c>
      <c r="F412">
        <v>0.25600000000000001</v>
      </c>
      <c r="G412">
        <v>121</v>
      </c>
      <c r="H412">
        <v>506</v>
      </c>
      <c r="I412">
        <v>429</v>
      </c>
      <c r="J412">
        <v>77</v>
      </c>
      <c r="K412">
        <v>110</v>
      </c>
      <c r="L412">
        <f>표1[[#This Row],[H]]-표1[[#This Row],[2B]]-표1[[#This Row],[3B]]-표1[[#This Row],[HR]]</f>
        <v>85</v>
      </c>
      <c r="M412">
        <v>19</v>
      </c>
      <c r="N412">
        <v>2</v>
      </c>
      <c r="O412">
        <v>4</v>
      </c>
      <c r="P412">
        <v>145</v>
      </c>
      <c r="Q412">
        <v>30</v>
      </c>
      <c r="R412">
        <v>10</v>
      </c>
      <c r="S412">
        <v>2</v>
      </c>
      <c r="T412">
        <v>60</v>
      </c>
      <c r="U412">
        <v>3</v>
      </c>
      <c r="V412">
        <v>8</v>
      </c>
      <c r="W412">
        <v>2</v>
      </c>
      <c r="X412">
        <v>5</v>
      </c>
      <c r="Y412">
        <v>88</v>
      </c>
      <c r="Z412">
        <v>7</v>
      </c>
      <c r="AA412">
        <v>0.33800000000000002</v>
      </c>
      <c r="AB412">
        <v>0.35299999999999998</v>
      </c>
      <c r="AC412">
        <v>0.69099999999999995</v>
      </c>
      <c r="AD412">
        <v>23</v>
      </c>
      <c r="AE412">
        <v>0.215</v>
      </c>
      <c r="AF412">
        <v>0.66700000000000004</v>
      </c>
      <c r="AG412">
        <f>(표1[[#This Row],[TB]]-표1[[#This Row],[H]])/표1[[#This Row],[AB]]</f>
        <v>8.1585081585081584E-2</v>
      </c>
      <c r="AH412">
        <f>(표1[[#This Row],[TB]]-표1[[#This Row],[H]]+표1[[#This Row],[BB]]+표1[[#This Row],[SB]]-표1[[#This Row],[CS]])/표1[[#This Row],[AB]]</f>
        <v>0.23543123543123542</v>
      </c>
      <c r="AI412">
        <f>(표1[[#This Row],[TB]]+표1[[#This Row],[BB]]+표1[[#This Row],[HBP]]+표1[[#This Row],[SB]]-표1[[#This Row],[CS]])/(표1[[#This Row],[AB]]-표1[[#This Row],[H]]+표1[[#This Row],[CS]]+표1[[#This Row],[GDP]])</f>
        <v>0.65853658536585369</v>
      </c>
      <c r="AJ41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56.269407114624514</v>
      </c>
      <c r="AK412">
        <f>표1[[#This Row],[RC]]/((표1[[#This Row],[AB]]-표1[[#This Row],[H]]+표1[[#This Row],[SAC]]+표1[[#This Row],[SF]]+표1[[#This Row],[CS]]+표1[[#This Row],[GDP]])/27)</f>
        <v>4.4684529179260641</v>
      </c>
      <c r="AL41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0.31123326572008114</v>
      </c>
      <c r="AM41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55.785999999999987</v>
      </c>
    </row>
    <row r="413" spans="1:39" x14ac:dyDescent="0.3">
      <c r="A413" t="str">
        <f>_xlfn.CONCAT(표1[[#This Row],[Year]],표1[[#This Row],[Player]])</f>
        <v>2011이호준</v>
      </c>
      <c r="B413">
        <v>2011</v>
      </c>
      <c r="C413">
        <v>32</v>
      </c>
      <c r="D413" t="s">
        <v>27</v>
      </c>
      <c r="E413" t="s">
        <v>8</v>
      </c>
      <c r="F413">
        <v>0.253</v>
      </c>
      <c r="G413">
        <v>114</v>
      </c>
      <c r="H413">
        <v>417</v>
      </c>
      <c r="I413">
        <v>368</v>
      </c>
      <c r="J413">
        <v>41</v>
      </c>
      <c r="K413">
        <v>93</v>
      </c>
      <c r="L413">
        <f>표1[[#This Row],[H]]-표1[[#This Row],[2B]]-표1[[#This Row],[3B]]-표1[[#This Row],[HR]]</f>
        <v>67</v>
      </c>
      <c r="M413">
        <v>12</v>
      </c>
      <c r="N413">
        <v>0</v>
      </c>
      <c r="O413">
        <v>14</v>
      </c>
      <c r="P413">
        <v>147</v>
      </c>
      <c r="Q413">
        <v>62</v>
      </c>
      <c r="R413">
        <v>3</v>
      </c>
      <c r="S413">
        <v>1</v>
      </c>
      <c r="T413">
        <v>44</v>
      </c>
      <c r="U413">
        <v>2</v>
      </c>
      <c r="V413">
        <v>2</v>
      </c>
      <c r="W413">
        <v>2</v>
      </c>
      <c r="X413">
        <v>1</v>
      </c>
      <c r="Y413">
        <v>78</v>
      </c>
      <c r="Z413">
        <v>10</v>
      </c>
      <c r="AA413">
        <v>0.39900000000000002</v>
      </c>
      <c r="AB413">
        <v>0.33300000000000002</v>
      </c>
      <c r="AC413">
        <v>0.73199999999999998</v>
      </c>
      <c r="AD413">
        <v>24</v>
      </c>
      <c r="AE413">
        <v>0.28799999999999998</v>
      </c>
      <c r="AF413">
        <v>0.33300000000000002</v>
      </c>
      <c r="AG413">
        <f>(표1[[#This Row],[TB]]-표1[[#This Row],[H]])/표1[[#This Row],[AB]]</f>
        <v>0.14673913043478262</v>
      </c>
      <c r="AH413">
        <f>(표1[[#This Row],[TB]]-표1[[#This Row],[H]]+표1[[#This Row],[BB]]+표1[[#This Row],[SB]]-표1[[#This Row],[CS]])/표1[[#This Row],[AB]]</f>
        <v>0.26630434782608697</v>
      </c>
      <c r="AI413">
        <f>(표1[[#This Row],[TB]]+표1[[#This Row],[BB]]+표1[[#This Row],[HBP]]+표1[[#This Row],[SB]]-표1[[#This Row],[CS]])/(표1[[#This Row],[AB]]-표1[[#This Row],[H]]+표1[[#This Row],[CS]]+표1[[#This Row],[GDP]])</f>
        <v>0.66898954703832758</v>
      </c>
      <c r="AJ41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48.738129496402884</v>
      </c>
      <c r="AK413">
        <f>표1[[#This Row],[RC]]/((표1[[#This Row],[AB]]-표1[[#This Row],[H]]+표1[[#This Row],[SAC]]+표1[[#This Row],[SF]]+표1[[#This Row],[CS]]+표1[[#This Row],[GDP]])/27)</f>
        <v>4.5220944893569683</v>
      </c>
      <c r="AL41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0.32249514563106796</v>
      </c>
      <c r="AM41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48.55599999999999</v>
      </c>
    </row>
    <row r="414" spans="1:39" x14ac:dyDescent="0.3">
      <c r="A414" t="str">
        <f>_xlfn.CONCAT(표1[[#This Row],[Year]],표1[[#This Row],[Player]])</f>
        <v>2011박정권</v>
      </c>
      <c r="B414">
        <v>2011</v>
      </c>
      <c r="C414">
        <v>33</v>
      </c>
      <c r="D414" t="s">
        <v>119</v>
      </c>
      <c r="E414" t="s">
        <v>8</v>
      </c>
      <c r="F414">
        <v>0.252</v>
      </c>
      <c r="G414">
        <v>122</v>
      </c>
      <c r="H414">
        <v>507</v>
      </c>
      <c r="I414">
        <v>453</v>
      </c>
      <c r="J414">
        <v>54</v>
      </c>
      <c r="K414">
        <v>114</v>
      </c>
      <c r="L414">
        <f>표1[[#This Row],[H]]-표1[[#This Row],[2B]]-표1[[#This Row],[3B]]-표1[[#This Row],[HR]]</f>
        <v>78</v>
      </c>
      <c r="M414">
        <v>21</v>
      </c>
      <c r="N414">
        <v>2</v>
      </c>
      <c r="O414">
        <v>13</v>
      </c>
      <c r="P414">
        <v>178</v>
      </c>
      <c r="Q414">
        <v>53</v>
      </c>
      <c r="R414">
        <v>6</v>
      </c>
      <c r="S414">
        <v>3</v>
      </c>
      <c r="T414">
        <v>42</v>
      </c>
      <c r="U414">
        <v>5</v>
      </c>
      <c r="V414">
        <v>9</v>
      </c>
      <c r="W414">
        <v>3</v>
      </c>
      <c r="X414">
        <v>3</v>
      </c>
      <c r="Y414">
        <v>103</v>
      </c>
      <c r="Z414">
        <v>9</v>
      </c>
      <c r="AA414">
        <v>0.39300000000000002</v>
      </c>
      <c r="AB414">
        <v>0.317</v>
      </c>
      <c r="AC414">
        <v>0.71</v>
      </c>
      <c r="AD414">
        <v>27</v>
      </c>
      <c r="AE414">
        <v>0.22500000000000001</v>
      </c>
      <c r="AF414">
        <v>1</v>
      </c>
      <c r="AG414">
        <f>(표1[[#This Row],[TB]]-표1[[#This Row],[H]])/표1[[#This Row],[AB]]</f>
        <v>0.141280353200883</v>
      </c>
      <c r="AH414">
        <f>(표1[[#This Row],[TB]]-표1[[#This Row],[H]]+표1[[#This Row],[BB]]+표1[[#This Row],[SB]]-표1[[#This Row],[CS]])/표1[[#This Row],[AB]]</f>
        <v>0.24724061810154527</v>
      </c>
      <c r="AI414">
        <f>(표1[[#This Row],[TB]]+표1[[#This Row],[BB]]+표1[[#This Row],[HBP]]+표1[[#This Row],[SB]]-표1[[#This Row],[CS]])/(표1[[#This Row],[AB]]-표1[[#This Row],[H]]+표1[[#This Row],[CS]]+표1[[#This Row],[GDP]])</f>
        <v>0.6524216524216524</v>
      </c>
      <c r="AJ41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57.338698224852067</v>
      </c>
      <c r="AK414">
        <f>표1[[#This Row],[RC]]/((표1[[#This Row],[AB]]-표1[[#This Row],[H]]+표1[[#This Row],[SAC]]+표1[[#This Row],[SF]]+표1[[#This Row],[CS]]+표1[[#This Row],[GDP]])/27)</f>
        <v>4.3004023668639046</v>
      </c>
      <c r="AL41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0.30851209677419356</v>
      </c>
      <c r="AM41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57.116000000000014</v>
      </c>
    </row>
    <row r="415" spans="1:39" x14ac:dyDescent="0.3">
      <c r="A415" t="str">
        <f>_xlfn.CONCAT(표1[[#This Row],[Year]],표1[[#This Row],[Player]])</f>
        <v>2011김민우</v>
      </c>
      <c r="B415">
        <v>2011</v>
      </c>
      <c r="C415">
        <v>34</v>
      </c>
      <c r="D415" t="s">
        <v>134</v>
      </c>
      <c r="E415" t="s">
        <v>125</v>
      </c>
      <c r="F415">
        <v>0.247</v>
      </c>
      <c r="G415">
        <v>126</v>
      </c>
      <c r="H415">
        <v>535</v>
      </c>
      <c r="I415">
        <v>466</v>
      </c>
      <c r="J415">
        <v>66</v>
      </c>
      <c r="K415">
        <v>115</v>
      </c>
      <c r="L415">
        <f>표1[[#This Row],[H]]-표1[[#This Row],[2B]]-표1[[#This Row],[3B]]-표1[[#This Row],[HR]]</f>
        <v>87</v>
      </c>
      <c r="M415">
        <v>22</v>
      </c>
      <c r="N415">
        <v>0</v>
      </c>
      <c r="O415">
        <v>6</v>
      </c>
      <c r="P415">
        <v>155</v>
      </c>
      <c r="Q415">
        <v>31</v>
      </c>
      <c r="R415">
        <v>17</v>
      </c>
      <c r="S415">
        <v>2</v>
      </c>
      <c r="T415">
        <v>48</v>
      </c>
      <c r="U415">
        <v>1</v>
      </c>
      <c r="V415">
        <v>23</v>
      </c>
      <c r="W415">
        <v>9</v>
      </c>
      <c r="X415">
        <v>2</v>
      </c>
      <c r="Y415">
        <v>100</v>
      </c>
      <c r="Z415">
        <v>7</v>
      </c>
      <c r="AA415">
        <v>0.33300000000000002</v>
      </c>
      <c r="AB415">
        <v>0.31900000000000001</v>
      </c>
      <c r="AC415">
        <v>0.65200000000000002</v>
      </c>
      <c r="AD415">
        <v>27</v>
      </c>
      <c r="AE415">
        <v>0.22700000000000001</v>
      </c>
      <c r="AF415">
        <v>0.25</v>
      </c>
      <c r="AG415">
        <f>(표1[[#This Row],[TB]]-표1[[#This Row],[H]])/표1[[#This Row],[AB]]</f>
        <v>8.5836909871244635E-2</v>
      </c>
      <c r="AH415">
        <f>(표1[[#This Row],[TB]]-표1[[#This Row],[H]]+표1[[#This Row],[BB]]+표1[[#This Row],[SB]]-표1[[#This Row],[CS]])/표1[[#This Row],[AB]]</f>
        <v>0.21888412017167383</v>
      </c>
      <c r="AI415">
        <f>(표1[[#This Row],[TB]]+표1[[#This Row],[BB]]+표1[[#This Row],[HBP]]+표1[[#This Row],[SB]]-표1[[#This Row],[CS]])/(표1[[#This Row],[AB]]-표1[[#This Row],[H]]+표1[[#This Row],[CS]]+표1[[#This Row],[GDP]])</f>
        <v>0.59673024523160767</v>
      </c>
      <c r="AJ41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52.79891588785047</v>
      </c>
      <c r="AK415">
        <f>표1[[#This Row],[RC]]/((표1[[#This Row],[AB]]-표1[[#This Row],[H]]+표1[[#This Row],[SAC]]+표1[[#This Row],[SF]]+표1[[#This Row],[CS]]+표1[[#This Row],[GDP]])/27)</f>
        <v>3.69318841702581</v>
      </c>
      <c r="AL41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0.29174274661508709</v>
      </c>
      <c r="AM41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52.59</v>
      </c>
    </row>
    <row r="416" spans="1:39" x14ac:dyDescent="0.3">
      <c r="A416" t="str">
        <f>_xlfn.CONCAT(표1[[#This Row],[Year]],표1[[#This Row],[Player]])</f>
        <v>2011장성호</v>
      </c>
      <c r="B416">
        <v>2011</v>
      </c>
      <c r="C416">
        <v>35</v>
      </c>
      <c r="D416" t="s">
        <v>12</v>
      </c>
      <c r="E416" t="s">
        <v>11</v>
      </c>
      <c r="F416">
        <v>0.24399999999999999</v>
      </c>
      <c r="G416">
        <v>116</v>
      </c>
      <c r="H416">
        <v>478</v>
      </c>
      <c r="I416">
        <v>390</v>
      </c>
      <c r="J416">
        <v>53</v>
      </c>
      <c r="K416">
        <v>95</v>
      </c>
      <c r="L416">
        <f>표1[[#This Row],[H]]-표1[[#This Row],[2B]]-표1[[#This Row],[3B]]-표1[[#This Row],[HR]]</f>
        <v>74</v>
      </c>
      <c r="M416">
        <v>13</v>
      </c>
      <c r="N416">
        <v>0</v>
      </c>
      <c r="O416">
        <v>8</v>
      </c>
      <c r="P416">
        <v>132</v>
      </c>
      <c r="Q416">
        <v>37</v>
      </c>
      <c r="R416">
        <v>3</v>
      </c>
      <c r="S416">
        <v>0</v>
      </c>
      <c r="T416">
        <v>81</v>
      </c>
      <c r="U416">
        <v>2</v>
      </c>
      <c r="V416">
        <v>0</v>
      </c>
      <c r="W416">
        <v>6</v>
      </c>
      <c r="X416">
        <v>4</v>
      </c>
      <c r="Y416">
        <v>66</v>
      </c>
      <c r="Z416">
        <v>9</v>
      </c>
      <c r="AA416">
        <v>0.33800000000000002</v>
      </c>
      <c r="AB416">
        <v>0.379</v>
      </c>
      <c r="AC416">
        <v>0.71699999999999997</v>
      </c>
      <c r="AD416">
        <v>20</v>
      </c>
      <c r="AE416">
        <v>0.23200000000000001</v>
      </c>
      <c r="AF416">
        <v>0</v>
      </c>
      <c r="AG416">
        <f>(표1[[#This Row],[TB]]-표1[[#This Row],[H]])/표1[[#This Row],[AB]]</f>
        <v>9.4871794871794868E-2</v>
      </c>
      <c r="AH416">
        <f>(표1[[#This Row],[TB]]-표1[[#This Row],[H]]+표1[[#This Row],[BB]]+표1[[#This Row],[SB]]-표1[[#This Row],[CS]])/표1[[#This Row],[AB]]</f>
        <v>0.28717948717948716</v>
      </c>
      <c r="AI416">
        <f>(표1[[#This Row],[TB]]+표1[[#This Row],[BB]]+표1[[#This Row],[HBP]]+표1[[#This Row],[SB]]-표1[[#This Row],[CS]])/(표1[[#This Row],[AB]]-표1[[#This Row],[H]]+표1[[#This Row],[CS]]+표1[[#This Row],[GDP]])</f>
        <v>0.6806451612903226</v>
      </c>
      <c r="AJ41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53.55251046025105</v>
      </c>
      <c r="AK416">
        <f>표1[[#This Row],[RC]]/((표1[[#This Row],[AB]]-표1[[#This Row],[H]]+표1[[#This Row],[SAC]]+표1[[#This Row],[SF]]+표1[[#This Row],[CS]]+표1[[#This Row],[GDP]])/27)</f>
        <v>4.6195456307564804</v>
      </c>
      <c r="AL41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0.32917124735729386</v>
      </c>
      <c r="AM41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54.391999999999989</v>
      </c>
    </row>
    <row r="417" spans="1:39" x14ac:dyDescent="0.3">
      <c r="A417" t="str">
        <f>_xlfn.CONCAT(표1[[#This Row],[Year]],표1[[#This Row],[Player]])</f>
        <v>2011조성환</v>
      </c>
      <c r="B417">
        <v>2011</v>
      </c>
      <c r="C417">
        <v>36</v>
      </c>
      <c r="D417" t="s">
        <v>16</v>
      </c>
      <c r="E417" t="s">
        <v>17</v>
      </c>
      <c r="F417">
        <v>0.24299999999999999</v>
      </c>
      <c r="G417">
        <v>117</v>
      </c>
      <c r="H417">
        <v>459</v>
      </c>
      <c r="I417">
        <v>407</v>
      </c>
      <c r="J417">
        <v>45</v>
      </c>
      <c r="K417">
        <v>99</v>
      </c>
      <c r="L417">
        <f>표1[[#This Row],[H]]-표1[[#This Row],[2B]]-표1[[#This Row],[3B]]-표1[[#This Row],[HR]]</f>
        <v>74</v>
      </c>
      <c r="M417">
        <v>19</v>
      </c>
      <c r="N417">
        <v>0</v>
      </c>
      <c r="O417">
        <v>6</v>
      </c>
      <c r="P417">
        <v>136</v>
      </c>
      <c r="Q417">
        <v>36</v>
      </c>
      <c r="R417">
        <v>10</v>
      </c>
      <c r="S417">
        <v>2</v>
      </c>
      <c r="T417">
        <v>37</v>
      </c>
      <c r="U417">
        <v>1</v>
      </c>
      <c r="V417">
        <v>9</v>
      </c>
      <c r="W417">
        <v>6</v>
      </c>
      <c r="X417">
        <v>3</v>
      </c>
      <c r="Y417">
        <v>87</v>
      </c>
      <c r="Z417">
        <v>11</v>
      </c>
      <c r="AA417">
        <v>0.33400000000000002</v>
      </c>
      <c r="AB417">
        <v>0.31</v>
      </c>
      <c r="AC417">
        <v>0.64400000000000002</v>
      </c>
      <c r="AD417">
        <v>26</v>
      </c>
      <c r="AE417">
        <v>0.23799999999999999</v>
      </c>
      <c r="AF417">
        <v>1</v>
      </c>
      <c r="AG417">
        <f>(표1[[#This Row],[TB]]-표1[[#This Row],[H]])/표1[[#This Row],[AB]]</f>
        <v>9.0909090909090912E-2</v>
      </c>
      <c r="AH417">
        <f>(표1[[#This Row],[TB]]-표1[[#This Row],[H]]+표1[[#This Row],[BB]]+표1[[#This Row],[SB]]-표1[[#This Row],[CS]])/표1[[#This Row],[AB]]</f>
        <v>0.1891891891891892</v>
      </c>
      <c r="AI417">
        <f>(표1[[#This Row],[TB]]+표1[[#This Row],[BB]]+표1[[#This Row],[HBP]]+표1[[#This Row],[SB]]-표1[[#This Row],[CS]])/(표1[[#This Row],[AB]]-표1[[#This Row],[H]]+표1[[#This Row],[CS]]+표1[[#This Row],[GDP]])</f>
        <v>0.55076923076923079</v>
      </c>
      <c r="AJ41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41.745795206971671</v>
      </c>
      <c r="AK417">
        <f>표1[[#This Row],[RC]]/((표1[[#This Row],[AB]]-표1[[#This Row],[H]]+표1[[#This Row],[SAC]]+표1[[#This Row],[SF]]+표1[[#This Row],[CS]]+표1[[#This Row],[GDP]])/27)</f>
        <v>3.3446186070867512</v>
      </c>
      <c r="AL41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0.28725223214285711</v>
      </c>
      <c r="AM41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41.18399999999999</v>
      </c>
    </row>
    <row r="418" spans="1:39" x14ac:dyDescent="0.3">
      <c r="A418" t="str">
        <f>_xlfn.CONCAT(표1[[#This Row],[Year]],표1[[#This Row],[Player]])</f>
        <v>2011알드리지</v>
      </c>
      <c r="B418">
        <v>2011</v>
      </c>
      <c r="C418">
        <v>37</v>
      </c>
      <c r="D418" t="s">
        <v>141</v>
      </c>
      <c r="E418" t="s">
        <v>125</v>
      </c>
      <c r="F418">
        <v>0.23699999999999999</v>
      </c>
      <c r="G418">
        <v>117</v>
      </c>
      <c r="H418">
        <v>480</v>
      </c>
      <c r="I418">
        <v>414</v>
      </c>
      <c r="J418">
        <v>55</v>
      </c>
      <c r="K418">
        <v>98</v>
      </c>
      <c r="L418">
        <f>표1[[#This Row],[H]]-표1[[#This Row],[2B]]-표1[[#This Row],[3B]]-표1[[#This Row],[HR]]</f>
        <v>57</v>
      </c>
      <c r="M418">
        <v>20</v>
      </c>
      <c r="N418">
        <v>1</v>
      </c>
      <c r="O418">
        <v>20</v>
      </c>
      <c r="P418">
        <v>180</v>
      </c>
      <c r="Q418">
        <v>73</v>
      </c>
      <c r="R418">
        <v>0</v>
      </c>
      <c r="S418">
        <v>5</v>
      </c>
      <c r="T418">
        <v>59</v>
      </c>
      <c r="U418">
        <v>2</v>
      </c>
      <c r="V418">
        <v>6</v>
      </c>
      <c r="W418">
        <v>2</v>
      </c>
      <c r="X418">
        <v>2</v>
      </c>
      <c r="Y418">
        <v>139</v>
      </c>
      <c r="Z418">
        <v>5</v>
      </c>
      <c r="AA418">
        <v>0.435</v>
      </c>
      <c r="AB418">
        <v>0.33100000000000002</v>
      </c>
      <c r="AC418">
        <v>0.76600000000000001</v>
      </c>
      <c r="AD418">
        <v>23</v>
      </c>
      <c r="AE418">
        <v>0.30099999999999999</v>
      </c>
      <c r="AF418">
        <v>0</v>
      </c>
      <c r="AG418">
        <f>(표1[[#This Row],[TB]]-표1[[#This Row],[H]])/표1[[#This Row],[AB]]</f>
        <v>0.19806763285024154</v>
      </c>
      <c r="AH418">
        <f>(표1[[#This Row],[TB]]-표1[[#This Row],[H]]+표1[[#This Row],[BB]]+표1[[#This Row],[SB]]-표1[[#This Row],[CS]])/표1[[#This Row],[AB]]</f>
        <v>0.35024154589371981</v>
      </c>
      <c r="AI418">
        <f>(표1[[#This Row],[TB]]+표1[[#This Row],[BB]]+표1[[#This Row],[HBP]]+표1[[#This Row],[SB]]-표1[[#This Row],[CS]])/(표1[[#This Row],[AB]]-표1[[#This Row],[H]]+표1[[#This Row],[CS]]+표1[[#This Row],[GDP]])</f>
        <v>0.75851393188854488</v>
      </c>
      <c r="AJ41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63.668999999999997</v>
      </c>
      <c r="AK418">
        <f>표1[[#This Row],[RC]]/((표1[[#This Row],[AB]]-표1[[#This Row],[H]]+표1[[#This Row],[SAC]]+표1[[#This Row],[SF]]+표1[[#This Row],[CS]]+표1[[#This Row],[GDP]])/27)</f>
        <v>5.2410457317073167</v>
      </c>
      <c r="AL41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0.3328702928870293</v>
      </c>
      <c r="AM41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64.187999999999988</v>
      </c>
    </row>
    <row r="419" spans="1:39" x14ac:dyDescent="0.3">
      <c r="A419" t="str">
        <f>_xlfn.CONCAT(표1[[#This Row],[Year]],표1[[#This Row],[Player]])</f>
        <v>2012김태균</v>
      </c>
      <c r="B419">
        <v>2012</v>
      </c>
      <c r="C419">
        <v>1</v>
      </c>
      <c r="D419" t="s">
        <v>10</v>
      </c>
      <c r="E419" t="s">
        <v>11</v>
      </c>
      <c r="F419">
        <v>0.36299999999999999</v>
      </c>
      <c r="G419">
        <v>126</v>
      </c>
      <c r="H419">
        <v>513</v>
      </c>
      <c r="I419">
        <v>416</v>
      </c>
      <c r="J419">
        <v>61</v>
      </c>
      <c r="K419">
        <v>151</v>
      </c>
      <c r="L419">
        <f>표1[[#This Row],[H]]-표1[[#This Row],[2B]]-표1[[#This Row],[3B]]-표1[[#This Row],[HR]]</f>
        <v>111</v>
      </c>
      <c r="M419">
        <v>24</v>
      </c>
      <c r="N419">
        <v>0</v>
      </c>
      <c r="O419">
        <v>16</v>
      </c>
      <c r="P419">
        <v>223</v>
      </c>
      <c r="Q419">
        <v>80</v>
      </c>
      <c r="R419">
        <v>0</v>
      </c>
      <c r="S419">
        <v>5</v>
      </c>
      <c r="T419">
        <v>81</v>
      </c>
      <c r="U419">
        <v>8</v>
      </c>
      <c r="V419">
        <v>3</v>
      </c>
      <c r="W419">
        <v>1</v>
      </c>
      <c r="X419">
        <v>11</v>
      </c>
      <c r="Y419">
        <v>69</v>
      </c>
      <c r="Z419">
        <v>11</v>
      </c>
      <c r="AA419">
        <v>0.53600000000000003</v>
      </c>
      <c r="AB419">
        <v>0.47399999999999998</v>
      </c>
      <c r="AC419">
        <v>1.01</v>
      </c>
      <c r="AD419">
        <v>43</v>
      </c>
      <c r="AE419">
        <v>0.379</v>
      </c>
      <c r="AF419">
        <v>0</v>
      </c>
      <c r="AG419">
        <f>(표1[[#This Row],[TB]]-표1[[#This Row],[H]])/표1[[#This Row],[AB]]</f>
        <v>0.17307692307692307</v>
      </c>
      <c r="AH419">
        <f>(표1[[#This Row],[TB]]-표1[[#This Row],[H]]+표1[[#This Row],[BB]]+표1[[#This Row],[SB]]-표1[[#This Row],[CS]])/표1[[#This Row],[AB]]</f>
        <v>0.37259615384615385</v>
      </c>
      <c r="AI419">
        <f>(표1[[#This Row],[TB]]+표1[[#This Row],[BB]]+표1[[#This Row],[HBP]]+표1[[#This Row],[SB]]-표1[[#This Row],[CS]])/(표1[[#This Row],[AB]]-표1[[#This Row],[H]]+표1[[#This Row],[CS]]+표1[[#This Row],[GDP]])</f>
        <v>1.144404332129964</v>
      </c>
      <c r="AJ41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112.12280701754386</v>
      </c>
      <c r="AK419">
        <f>표1[[#This Row],[RC]]/((표1[[#This Row],[AB]]-표1[[#This Row],[H]]+표1[[#This Row],[SAC]]+표1[[#This Row],[SF]]+표1[[#This Row],[CS]]+표1[[#This Row],[GDP]])/27)</f>
        <v>10.735162374020156</v>
      </c>
      <c r="AL41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0.43486138613861386</v>
      </c>
      <c r="AM41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99.978000000000009</v>
      </c>
    </row>
    <row r="420" spans="1:39" x14ac:dyDescent="0.3">
      <c r="A420" t="str">
        <f>_xlfn.CONCAT(표1[[#This Row],[Year]],표1[[#This Row],[Player]])</f>
        <v>2012강정호</v>
      </c>
      <c r="B420">
        <v>2012</v>
      </c>
      <c r="C420">
        <v>2</v>
      </c>
      <c r="D420" t="s">
        <v>106</v>
      </c>
      <c r="E420" t="s">
        <v>125</v>
      </c>
      <c r="F420">
        <v>0.314</v>
      </c>
      <c r="G420">
        <v>124</v>
      </c>
      <c r="H420">
        <v>519</v>
      </c>
      <c r="I420">
        <v>436</v>
      </c>
      <c r="J420">
        <v>77</v>
      </c>
      <c r="K420">
        <v>137</v>
      </c>
      <c r="L420">
        <f>표1[[#This Row],[H]]-표1[[#This Row],[2B]]-표1[[#This Row],[3B]]-표1[[#This Row],[HR]]</f>
        <v>80</v>
      </c>
      <c r="M420">
        <v>32</v>
      </c>
      <c r="N420">
        <v>0</v>
      </c>
      <c r="O420">
        <v>25</v>
      </c>
      <c r="P420">
        <v>244</v>
      </c>
      <c r="Q420">
        <v>82</v>
      </c>
      <c r="R420">
        <v>1</v>
      </c>
      <c r="S420">
        <v>5</v>
      </c>
      <c r="T420">
        <v>71</v>
      </c>
      <c r="U420">
        <v>8</v>
      </c>
      <c r="V420">
        <v>21</v>
      </c>
      <c r="W420">
        <v>5</v>
      </c>
      <c r="X420">
        <v>6</v>
      </c>
      <c r="Y420">
        <v>78</v>
      </c>
      <c r="Z420">
        <v>16</v>
      </c>
      <c r="AA420">
        <v>0.56000000000000005</v>
      </c>
      <c r="AB420">
        <v>0.41299999999999998</v>
      </c>
      <c r="AC420">
        <v>0.97299999999999998</v>
      </c>
      <c r="AD420">
        <v>38</v>
      </c>
      <c r="AE420">
        <v>0.311</v>
      </c>
      <c r="AF420">
        <v>0</v>
      </c>
      <c r="AG420">
        <f>(표1[[#This Row],[TB]]-표1[[#This Row],[H]])/표1[[#This Row],[AB]]</f>
        <v>0.24541284403669725</v>
      </c>
      <c r="AH420">
        <f>(표1[[#This Row],[TB]]-표1[[#This Row],[H]]+표1[[#This Row],[BB]]+표1[[#This Row],[SB]]-표1[[#This Row],[CS]])/표1[[#This Row],[AB]]</f>
        <v>0.44495412844036697</v>
      </c>
      <c r="AI420">
        <f>(표1[[#This Row],[TB]]+표1[[#This Row],[BB]]+표1[[#This Row],[HBP]]+표1[[#This Row],[SB]]-표1[[#This Row],[CS]])/(표1[[#This Row],[AB]]-표1[[#This Row],[H]]+표1[[#This Row],[CS]]+표1[[#This Row],[GDP]])</f>
        <v>1.0531250000000001</v>
      </c>
      <c r="AJ42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102.62840077071293</v>
      </c>
      <c r="AK420">
        <f>표1[[#This Row],[RC]]/((표1[[#This Row],[AB]]-표1[[#This Row],[H]]+표1[[#This Row],[SAC]]+표1[[#This Row],[SF]]+표1[[#This Row],[CS]]+표1[[#This Row],[GDP]])/27)</f>
        <v>8.4998982233412548</v>
      </c>
      <c r="AL42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0.4122725490196078</v>
      </c>
      <c r="AM42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95.116</v>
      </c>
    </row>
    <row r="421" spans="1:39" x14ac:dyDescent="0.3">
      <c r="A421" t="str">
        <f>_xlfn.CONCAT(표1[[#This Row],[Year]],표1[[#This Row],[Player]])</f>
        <v>2012손아섭</v>
      </c>
      <c r="B421">
        <v>2012</v>
      </c>
      <c r="C421">
        <v>3</v>
      </c>
      <c r="D421" t="s">
        <v>124</v>
      </c>
      <c r="E421" t="s">
        <v>17</v>
      </c>
      <c r="F421">
        <v>0.314</v>
      </c>
      <c r="G421">
        <v>132</v>
      </c>
      <c r="H421">
        <v>556</v>
      </c>
      <c r="I421">
        <v>503</v>
      </c>
      <c r="J421">
        <v>61</v>
      </c>
      <c r="K421">
        <v>158</v>
      </c>
      <c r="L421">
        <f>표1[[#This Row],[H]]-표1[[#This Row],[2B]]-표1[[#This Row],[3B]]-표1[[#This Row],[HR]]</f>
        <v>127</v>
      </c>
      <c r="M421">
        <v>26</v>
      </c>
      <c r="N421">
        <v>0</v>
      </c>
      <c r="O421">
        <v>5</v>
      </c>
      <c r="P421">
        <v>199</v>
      </c>
      <c r="Q421">
        <v>58</v>
      </c>
      <c r="R421">
        <v>2</v>
      </c>
      <c r="S421">
        <v>4</v>
      </c>
      <c r="T421">
        <v>41</v>
      </c>
      <c r="U421">
        <v>4</v>
      </c>
      <c r="V421">
        <v>10</v>
      </c>
      <c r="W421">
        <v>5</v>
      </c>
      <c r="X421">
        <v>6</v>
      </c>
      <c r="Y421">
        <v>79</v>
      </c>
      <c r="Z421">
        <v>7</v>
      </c>
      <c r="AA421">
        <v>0.39600000000000002</v>
      </c>
      <c r="AB421">
        <v>0.37</v>
      </c>
      <c r="AC421">
        <v>0.76600000000000001</v>
      </c>
      <c r="AD421">
        <v>43</v>
      </c>
      <c r="AE421">
        <v>0.33300000000000002</v>
      </c>
      <c r="AF421">
        <v>0.5</v>
      </c>
      <c r="AG421">
        <f>(표1[[#This Row],[TB]]-표1[[#This Row],[H]])/표1[[#This Row],[AB]]</f>
        <v>8.1510934393638171E-2</v>
      </c>
      <c r="AH421">
        <f>(표1[[#This Row],[TB]]-표1[[#This Row],[H]]+표1[[#This Row],[BB]]+표1[[#This Row],[SB]]-표1[[#This Row],[CS]])/표1[[#This Row],[AB]]</f>
        <v>0.17296222664015903</v>
      </c>
      <c r="AI421">
        <f>(표1[[#This Row],[TB]]+표1[[#This Row],[BB]]+표1[[#This Row],[HBP]]+표1[[#This Row],[SB]]-표1[[#This Row],[CS]])/(표1[[#This Row],[AB]]-표1[[#This Row],[H]]+표1[[#This Row],[CS]]+표1[[#This Row],[GDP]])</f>
        <v>0.70308123249299714</v>
      </c>
      <c r="AJ42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75.84622302158273</v>
      </c>
      <c r="AK421">
        <f>표1[[#This Row],[RC]]/((표1[[#This Row],[AB]]-표1[[#This Row],[H]]+표1[[#This Row],[SAC]]+표1[[#This Row],[SF]]+표1[[#This Row],[CS]]+표1[[#This Row],[GDP]])/27)</f>
        <v>5.6414546049111118</v>
      </c>
      <c r="AL42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0.3366163636363636</v>
      </c>
      <c r="AM42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72.528000000000006</v>
      </c>
    </row>
    <row r="422" spans="1:39" x14ac:dyDescent="0.3">
      <c r="A422" t="str">
        <f>_xlfn.CONCAT(표1[[#This Row],[Year]],표1[[#This Row],[Player]])</f>
        <v>2012박석민</v>
      </c>
      <c r="B422">
        <v>2012</v>
      </c>
      <c r="C422">
        <v>4</v>
      </c>
      <c r="D422" t="s">
        <v>104</v>
      </c>
      <c r="E422" t="s">
        <v>6</v>
      </c>
      <c r="F422">
        <v>0.312</v>
      </c>
      <c r="G422">
        <v>127</v>
      </c>
      <c r="H422">
        <v>549</v>
      </c>
      <c r="I422">
        <v>443</v>
      </c>
      <c r="J422">
        <v>79</v>
      </c>
      <c r="K422">
        <v>138</v>
      </c>
      <c r="L422">
        <f>표1[[#This Row],[H]]-표1[[#This Row],[2B]]-표1[[#This Row],[3B]]-표1[[#This Row],[HR]]</f>
        <v>93</v>
      </c>
      <c r="M422">
        <v>19</v>
      </c>
      <c r="N422">
        <v>3</v>
      </c>
      <c r="O422">
        <v>23</v>
      </c>
      <c r="P422">
        <v>232</v>
      </c>
      <c r="Q422">
        <v>91</v>
      </c>
      <c r="R422">
        <v>2</v>
      </c>
      <c r="S422">
        <v>5</v>
      </c>
      <c r="T422">
        <v>72</v>
      </c>
      <c r="U422">
        <v>5</v>
      </c>
      <c r="V422">
        <v>2</v>
      </c>
      <c r="W422">
        <v>3</v>
      </c>
      <c r="X422">
        <v>27</v>
      </c>
      <c r="Y422">
        <v>83</v>
      </c>
      <c r="Z422">
        <v>8</v>
      </c>
      <c r="AA422">
        <v>0.52400000000000002</v>
      </c>
      <c r="AB422">
        <v>0.433</v>
      </c>
      <c r="AC422">
        <v>0.95699999999999996</v>
      </c>
      <c r="AD422">
        <v>37</v>
      </c>
      <c r="AE422">
        <v>0.28999999999999998</v>
      </c>
      <c r="AF422">
        <v>0</v>
      </c>
      <c r="AG422">
        <f>(표1[[#This Row],[TB]]-표1[[#This Row],[H]])/표1[[#This Row],[AB]]</f>
        <v>0.21218961625282168</v>
      </c>
      <c r="AH422">
        <f>(표1[[#This Row],[TB]]-표1[[#This Row],[H]]+표1[[#This Row],[BB]]+표1[[#This Row],[SB]]-표1[[#This Row],[CS]])/표1[[#This Row],[AB]]</f>
        <v>0.3724604966139955</v>
      </c>
      <c r="AI422">
        <f>(표1[[#This Row],[TB]]+표1[[#This Row],[BB]]+표1[[#This Row],[HBP]]+표1[[#This Row],[SB]]-표1[[#This Row],[CS]])/(표1[[#This Row],[AB]]-표1[[#This Row],[H]]+표1[[#This Row],[CS]]+표1[[#This Row],[GDP]])</f>
        <v>1.0443037974683544</v>
      </c>
      <c r="AJ42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107.4920218579235</v>
      </c>
      <c r="AK422">
        <f>표1[[#This Row],[RC]]/((표1[[#This Row],[AB]]-표1[[#This Row],[H]]+표1[[#This Row],[SAC]]+표1[[#This Row],[SF]]+표1[[#This Row],[CS]]+표1[[#This Row],[GDP]])/27)</f>
        <v>8.985401207937878</v>
      </c>
      <c r="AL42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0.41328228782287824</v>
      </c>
      <c r="AM42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99.885999999999981</v>
      </c>
    </row>
    <row r="423" spans="1:39" x14ac:dyDescent="0.3">
      <c r="A423" t="str">
        <f>_xlfn.CONCAT(표1[[#This Row],[Year]],표1[[#This Row],[Player]])</f>
        <v>2012정성훈</v>
      </c>
      <c r="B423">
        <v>2012</v>
      </c>
      <c r="C423">
        <v>5</v>
      </c>
      <c r="D423" t="s">
        <v>61</v>
      </c>
      <c r="E423" t="s">
        <v>36</v>
      </c>
      <c r="F423">
        <v>0.31</v>
      </c>
      <c r="G423">
        <v>107</v>
      </c>
      <c r="H423">
        <v>438</v>
      </c>
      <c r="I423">
        <v>365</v>
      </c>
      <c r="J423">
        <v>50</v>
      </c>
      <c r="K423">
        <v>113</v>
      </c>
      <c r="L423">
        <f>표1[[#This Row],[H]]-표1[[#This Row],[2B]]-표1[[#This Row],[3B]]-표1[[#This Row],[HR]]</f>
        <v>71</v>
      </c>
      <c r="M423">
        <v>27</v>
      </c>
      <c r="N423">
        <v>3</v>
      </c>
      <c r="O423">
        <v>12</v>
      </c>
      <c r="P423">
        <v>182</v>
      </c>
      <c r="Q423">
        <v>53</v>
      </c>
      <c r="R423">
        <v>2</v>
      </c>
      <c r="S423">
        <v>5</v>
      </c>
      <c r="T423">
        <v>65</v>
      </c>
      <c r="U423">
        <v>2</v>
      </c>
      <c r="V423">
        <v>3</v>
      </c>
      <c r="W423">
        <v>3</v>
      </c>
      <c r="X423">
        <v>1</v>
      </c>
      <c r="Y423">
        <v>62</v>
      </c>
      <c r="Z423">
        <v>13</v>
      </c>
      <c r="AA423">
        <v>0.499</v>
      </c>
      <c r="AB423">
        <v>0.41099999999999998</v>
      </c>
      <c r="AC423">
        <v>0.91</v>
      </c>
      <c r="AD423">
        <v>30</v>
      </c>
      <c r="AE423">
        <v>0.27900000000000003</v>
      </c>
      <c r="AF423">
        <v>0.4</v>
      </c>
      <c r="AG423">
        <f>(표1[[#This Row],[TB]]-표1[[#This Row],[H]])/표1[[#This Row],[AB]]</f>
        <v>0.18904109589041096</v>
      </c>
      <c r="AH423">
        <f>(표1[[#This Row],[TB]]-표1[[#This Row],[H]]+표1[[#This Row],[BB]]+표1[[#This Row],[SB]]-표1[[#This Row],[CS]])/표1[[#This Row],[AB]]</f>
        <v>0.36712328767123287</v>
      </c>
      <c r="AI423">
        <f>(표1[[#This Row],[TB]]+표1[[#This Row],[BB]]+표1[[#This Row],[HBP]]+표1[[#This Row],[SB]]-표1[[#This Row],[CS]])/(표1[[#This Row],[AB]]-표1[[#This Row],[H]]+표1[[#This Row],[CS]]+표1[[#This Row],[GDP]])</f>
        <v>0.92537313432835822</v>
      </c>
      <c r="AJ42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75.858264840182642</v>
      </c>
      <c r="AK423">
        <f>표1[[#This Row],[RC]]/((표1[[#This Row],[AB]]-표1[[#This Row],[H]]+표1[[#This Row],[SAC]]+표1[[#This Row],[SF]]+표1[[#This Row],[CS]]+표1[[#This Row],[GDP]])/27)</f>
        <v>7.4479023661270229</v>
      </c>
      <c r="AL42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0.3927027649769585</v>
      </c>
      <c r="AM42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71.124000000000009</v>
      </c>
    </row>
    <row r="424" spans="1:39" x14ac:dyDescent="0.3">
      <c r="A424" t="str">
        <f>_xlfn.CONCAT(표1[[#This Row],[Year]],표1[[#This Row],[Player]])</f>
        <v>2012이승엽</v>
      </c>
      <c r="B424">
        <v>2012</v>
      </c>
      <c r="C424">
        <v>6</v>
      </c>
      <c r="D424" t="s">
        <v>19</v>
      </c>
      <c r="E424" t="s">
        <v>6</v>
      </c>
      <c r="F424">
        <v>0.307</v>
      </c>
      <c r="G424">
        <v>126</v>
      </c>
      <c r="H424">
        <v>556</v>
      </c>
      <c r="I424">
        <v>488</v>
      </c>
      <c r="J424">
        <v>84</v>
      </c>
      <c r="K424">
        <v>150</v>
      </c>
      <c r="L424">
        <f>표1[[#This Row],[H]]-표1[[#This Row],[2B]]-표1[[#This Row],[3B]]-표1[[#This Row],[HR]]</f>
        <v>99</v>
      </c>
      <c r="M424">
        <v>28</v>
      </c>
      <c r="N424">
        <v>2</v>
      </c>
      <c r="O424">
        <v>21</v>
      </c>
      <c r="P424">
        <v>245</v>
      </c>
      <c r="Q424">
        <v>85</v>
      </c>
      <c r="R424">
        <v>1</v>
      </c>
      <c r="S424">
        <v>4</v>
      </c>
      <c r="T424">
        <v>59</v>
      </c>
      <c r="U424">
        <v>4</v>
      </c>
      <c r="V424">
        <v>6</v>
      </c>
      <c r="W424">
        <v>0</v>
      </c>
      <c r="X424">
        <v>4</v>
      </c>
      <c r="Y424">
        <v>101</v>
      </c>
      <c r="Z424">
        <v>10</v>
      </c>
      <c r="AA424">
        <v>0.502</v>
      </c>
      <c r="AB424">
        <v>0.38400000000000001</v>
      </c>
      <c r="AC424">
        <v>0.88600000000000001</v>
      </c>
      <c r="AD424">
        <v>42</v>
      </c>
      <c r="AE424">
        <v>0.32700000000000001</v>
      </c>
      <c r="AF424">
        <v>0</v>
      </c>
      <c r="AG424">
        <f>(표1[[#This Row],[TB]]-표1[[#This Row],[H]])/표1[[#This Row],[AB]]</f>
        <v>0.19467213114754098</v>
      </c>
      <c r="AH424">
        <f>(표1[[#This Row],[TB]]-표1[[#This Row],[H]]+표1[[#This Row],[BB]]+표1[[#This Row],[SB]]-표1[[#This Row],[CS]])/표1[[#This Row],[AB]]</f>
        <v>0.32786885245901637</v>
      </c>
      <c r="AI424">
        <f>(표1[[#This Row],[TB]]+표1[[#This Row],[BB]]+표1[[#This Row],[HBP]]+표1[[#This Row],[SB]]-표1[[#This Row],[CS]])/(표1[[#This Row],[AB]]-표1[[#This Row],[H]]+표1[[#This Row],[CS]]+표1[[#This Row],[GDP]])</f>
        <v>0.9022988505747126</v>
      </c>
      <c r="AJ42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97.140611510791373</v>
      </c>
      <c r="AK424">
        <f>표1[[#This Row],[RC]]/((표1[[#This Row],[AB]]-표1[[#This Row],[H]]+표1[[#This Row],[SAC]]+표1[[#This Row],[SF]]+표1[[#This Row],[CS]]+표1[[#This Row],[GDP]])/27)</f>
        <v>7.4300184441681782</v>
      </c>
      <c r="AL42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0.38114156079854805</v>
      </c>
      <c r="AM42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90.712000000000003</v>
      </c>
    </row>
    <row r="425" spans="1:39" x14ac:dyDescent="0.3">
      <c r="A425" t="str">
        <f>_xlfn.CONCAT(표1[[#This Row],[Year]],표1[[#This Row],[Player]])</f>
        <v>2012이진영</v>
      </c>
      <c r="B425">
        <v>2012</v>
      </c>
      <c r="C425">
        <v>7</v>
      </c>
      <c r="D425" t="s">
        <v>7</v>
      </c>
      <c r="E425" t="s">
        <v>36</v>
      </c>
      <c r="F425">
        <v>0.307</v>
      </c>
      <c r="G425">
        <v>105</v>
      </c>
      <c r="H425">
        <v>412</v>
      </c>
      <c r="I425">
        <v>365</v>
      </c>
      <c r="J425">
        <v>39</v>
      </c>
      <c r="K425">
        <v>112</v>
      </c>
      <c r="L425">
        <f>표1[[#This Row],[H]]-표1[[#This Row],[2B]]-표1[[#This Row],[3B]]-표1[[#This Row],[HR]]</f>
        <v>90</v>
      </c>
      <c r="M425">
        <v>18</v>
      </c>
      <c r="N425">
        <v>0</v>
      </c>
      <c r="O425">
        <v>4</v>
      </c>
      <c r="P425">
        <v>142</v>
      </c>
      <c r="Q425">
        <v>55</v>
      </c>
      <c r="R425">
        <v>0</v>
      </c>
      <c r="S425">
        <v>2</v>
      </c>
      <c r="T425">
        <v>44</v>
      </c>
      <c r="U425">
        <v>2</v>
      </c>
      <c r="V425">
        <v>4</v>
      </c>
      <c r="W425">
        <v>2</v>
      </c>
      <c r="X425">
        <v>1</v>
      </c>
      <c r="Y425">
        <v>41</v>
      </c>
      <c r="Z425">
        <v>8</v>
      </c>
      <c r="AA425">
        <v>0.38900000000000001</v>
      </c>
      <c r="AB425">
        <v>0.38100000000000001</v>
      </c>
      <c r="AC425">
        <v>0.77</v>
      </c>
      <c r="AD425">
        <v>31</v>
      </c>
      <c r="AE425">
        <v>0.33600000000000002</v>
      </c>
      <c r="AF425">
        <v>0.28599999999999998</v>
      </c>
      <c r="AG425">
        <f>(표1[[#This Row],[TB]]-표1[[#This Row],[H]])/표1[[#This Row],[AB]]</f>
        <v>8.2191780821917804E-2</v>
      </c>
      <c r="AH425">
        <f>(표1[[#This Row],[TB]]-표1[[#This Row],[H]]+표1[[#This Row],[BB]]+표1[[#This Row],[SB]]-표1[[#This Row],[CS]])/표1[[#This Row],[AB]]</f>
        <v>0.20821917808219179</v>
      </c>
      <c r="AI425">
        <f>(표1[[#This Row],[TB]]+표1[[#This Row],[BB]]+표1[[#This Row],[HBP]]+표1[[#This Row],[SB]]-표1[[#This Row],[CS]])/(표1[[#This Row],[AB]]-표1[[#This Row],[H]]+표1[[#This Row],[CS]]+표1[[#This Row],[GDP]])</f>
        <v>0.71863117870722437</v>
      </c>
      <c r="AJ42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55.76723300970874</v>
      </c>
      <c r="AK425">
        <f>표1[[#This Row],[RC]]/((표1[[#This Row],[AB]]-표1[[#This Row],[H]]+표1[[#This Row],[SAC]]+표1[[#This Row],[SF]]+표1[[#This Row],[CS]]+표1[[#This Row],[GDP]])/27)</f>
        <v>5.681944495328815</v>
      </c>
      <c r="AL42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0.34185853658536586</v>
      </c>
      <c r="AM42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53.602000000000004</v>
      </c>
    </row>
    <row r="426" spans="1:39" x14ac:dyDescent="0.3">
      <c r="A426" t="str">
        <f>_xlfn.CONCAT(표1[[#This Row],[Year]],표1[[#This Row],[Player]])</f>
        <v>2012박용택</v>
      </c>
      <c r="B426">
        <v>2012</v>
      </c>
      <c r="C426">
        <v>8</v>
      </c>
      <c r="D426" t="s">
        <v>42</v>
      </c>
      <c r="E426" t="s">
        <v>36</v>
      </c>
      <c r="F426">
        <v>0.30499999999999999</v>
      </c>
      <c r="G426">
        <v>127</v>
      </c>
      <c r="H426">
        <v>556</v>
      </c>
      <c r="I426">
        <v>499</v>
      </c>
      <c r="J426">
        <v>82</v>
      </c>
      <c r="K426">
        <v>152</v>
      </c>
      <c r="L426">
        <f>표1[[#This Row],[H]]-표1[[#This Row],[2B]]-표1[[#This Row],[3B]]-표1[[#This Row],[HR]]</f>
        <v>104</v>
      </c>
      <c r="M426">
        <v>34</v>
      </c>
      <c r="N426">
        <v>3</v>
      </c>
      <c r="O426">
        <v>11</v>
      </c>
      <c r="P426">
        <v>225</v>
      </c>
      <c r="Q426">
        <v>76</v>
      </c>
      <c r="R426">
        <v>1</v>
      </c>
      <c r="S426">
        <v>7</v>
      </c>
      <c r="T426">
        <v>42</v>
      </c>
      <c r="U426">
        <v>1</v>
      </c>
      <c r="V426">
        <v>30</v>
      </c>
      <c r="W426">
        <v>8</v>
      </c>
      <c r="X426">
        <v>7</v>
      </c>
      <c r="Y426">
        <v>66</v>
      </c>
      <c r="Z426">
        <v>9</v>
      </c>
      <c r="AA426">
        <v>0.45100000000000001</v>
      </c>
      <c r="AB426">
        <v>0.36199999999999999</v>
      </c>
      <c r="AC426">
        <v>0.81299999999999994</v>
      </c>
      <c r="AD426">
        <v>45</v>
      </c>
      <c r="AE426">
        <v>0.41599999999999998</v>
      </c>
      <c r="AF426">
        <v>1</v>
      </c>
      <c r="AG426">
        <f>(표1[[#This Row],[TB]]-표1[[#This Row],[H]])/표1[[#This Row],[AB]]</f>
        <v>0.14629258517034069</v>
      </c>
      <c r="AH426">
        <f>(표1[[#This Row],[TB]]-표1[[#This Row],[H]]+표1[[#This Row],[BB]]+표1[[#This Row],[SB]]-표1[[#This Row],[CS]])/표1[[#This Row],[AB]]</f>
        <v>0.27454909819639278</v>
      </c>
      <c r="AI426">
        <f>(표1[[#This Row],[TB]]+표1[[#This Row],[BB]]+표1[[#This Row],[HBP]]+표1[[#This Row],[SB]]-표1[[#This Row],[CS]])/(표1[[#This Row],[AB]]-표1[[#This Row],[H]]+표1[[#This Row],[CS]]+표1[[#This Row],[GDP]])</f>
        <v>0.81318681318681318</v>
      </c>
      <c r="AJ42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85.129784172661871</v>
      </c>
      <c r="AK426">
        <f>표1[[#This Row],[RC]]/((표1[[#This Row],[AB]]-표1[[#This Row],[H]]+표1[[#This Row],[SAC]]+표1[[#This Row],[SF]]+표1[[#This Row],[CS]]+표1[[#This Row],[GDP]])/27)</f>
        <v>6.1787746576932001</v>
      </c>
      <c r="AL42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0.35284476534296028</v>
      </c>
      <c r="AM42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82.392000000000039</v>
      </c>
    </row>
    <row r="427" spans="1:39" x14ac:dyDescent="0.3">
      <c r="A427" t="str">
        <f>_xlfn.CONCAT(표1[[#This Row],[Year]],표1[[#This Row],[Player]])</f>
        <v>2012박한이</v>
      </c>
      <c r="B427">
        <v>2012</v>
      </c>
      <c r="C427">
        <v>9</v>
      </c>
      <c r="D427" t="s">
        <v>9</v>
      </c>
      <c r="E427" t="s">
        <v>6</v>
      </c>
      <c r="F427">
        <v>0.30399999999999999</v>
      </c>
      <c r="G427">
        <v>111</v>
      </c>
      <c r="H427">
        <v>463</v>
      </c>
      <c r="I427">
        <v>388</v>
      </c>
      <c r="J427">
        <v>61</v>
      </c>
      <c r="K427">
        <v>118</v>
      </c>
      <c r="L427">
        <f>표1[[#This Row],[H]]-표1[[#This Row],[2B]]-표1[[#This Row],[3B]]-표1[[#This Row],[HR]]</f>
        <v>94</v>
      </c>
      <c r="M427">
        <v>19</v>
      </c>
      <c r="N427">
        <v>4</v>
      </c>
      <c r="O427">
        <v>1</v>
      </c>
      <c r="P427">
        <v>148</v>
      </c>
      <c r="Q427">
        <v>51</v>
      </c>
      <c r="R427">
        <v>13</v>
      </c>
      <c r="S427">
        <v>3</v>
      </c>
      <c r="T427">
        <v>58</v>
      </c>
      <c r="U427">
        <v>3</v>
      </c>
      <c r="V427">
        <v>4</v>
      </c>
      <c r="W427">
        <v>6</v>
      </c>
      <c r="X427">
        <v>1</v>
      </c>
      <c r="Y427">
        <v>72</v>
      </c>
      <c r="Z427">
        <v>8</v>
      </c>
      <c r="AA427">
        <v>0.38100000000000001</v>
      </c>
      <c r="AB427">
        <v>0.39300000000000002</v>
      </c>
      <c r="AC427">
        <v>0.77400000000000002</v>
      </c>
      <c r="AD427">
        <v>35</v>
      </c>
      <c r="AE427">
        <v>0.29099999999999998</v>
      </c>
      <c r="AF427">
        <v>0.6</v>
      </c>
      <c r="AG427">
        <f>(표1[[#This Row],[TB]]-표1[[#This Row],[H]])/표1[[#This Row],[AB]]</f>
        <v>7.7319587628865982E-2</v>
      </c>
      <c r="AH427">
        <f>(표1[[#This Row],[TB]]-표1[[#This Row],[H]]+표1[[#This Row],[BB]]+표1[[#This Row],[SB]]-표1[[#This Row],[CS]])/표1[[#This Row],[AB]]</f>
        <v>0.22164948453608246</v>
      </c>
      <c r="AI427">
        <f>(표1[[#This Row],[TB]]+표1[[#This Row],[BB]]+표1[[#This Row],[HBP]]+표1[[#This Row],[SB]]-표1[[#This Row],[CS]])/(표1[[#This Row],[AB]]-표1[[#This Row],[H]]+표1[[#This Row],[CS]]+표1[[#This Row],[GDP]])</f>
        <v>0.721830985915493</v>
      </c>
      <c r="AJ42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60.890885529157664</v>
      </c>
      <c r="AK427">
        <f>표1[[#This Row],[RC]]/((표1[[#This Row],[AB]]-표1[[#This Row],[H]]+표1[[#This Row],[SAC]]+표1[[#This Row],[SF]]+표1[[#This Row],[CS]]+표1[[#This Row],[GDP]])/27)</f>
        <v>5.4801796976241901</v>
      </c>
      <c r="AL42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0.34482326621923942</v>
      </c>
      <c r="AM42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58.664000000000016</v>
      </c>
    </row>
    <row r="428" spans="1:39" x14ac:dyDescent="0.3">
      <c r="A428" t="str">
        <f>_xlfn.CONCAT(표1[[#This Row],[Year]],표1[[#This Row],[Player]])</f>
        <v>2012김원섭</v>
      </c>
      <c r="B428">
        <v>2012</v>
      </c>
      <c r="C428">
        <v>10</v>
      </c>
      <c r="D428" t="s">
        <v>100</v>
      </c>
      <c r="E428" t="s">
        <v>13</v>
      </c>
      <c r="F428">
        <v>0.30299999999999999</v>
      </c>
      <c r="G428">
        <v>120</v>
      </c>
      <c r="H428">
        <v>472</v>
      </c>
      <c r="I428">
        <v>386</v>
      </c>
      <c r="J428">
        <v>60</v>
      </c>
      <c r="K428">
        <v>117</v>
      </c>
      <c r="L428">
        <f>표1[[#This Row],[H]]-표1[[#This Row],[2B]]-표1[[#This Row],[3B]]-표1[[#This Row],[HR]]</f>
        <v>89</v>
      </c>
      <c r="M428">
        <v>21</v>
      </c>
      <c r="N428">
        <v>4</v>
      </c>
      <c r="O428">
        <v>3</v>
      </c>
      <c r="P428">
        <v>155</v>
      </c>
      <c r="Q428">
        <v>61</v>
      </c>
      <c r="R428">
        <v>12</v>
      </c>
      <c r="S428">
        <v>3</v>
      </c>
      <c r="T428">
        <v>69</v>
      </c>
      <c r="U428">
        <v>1</v>
      </c>
      <c r="V428">
        <v>8</v>
      </c>
      <c r="W428">
        <v>4</v>
      </c>
      <c r="X428">
        <v>2</v>
      </c>
      <c r="Y428">
        <v>54</v>
      </c>
      <c r="Z428">
        <v>12</v>
      </c>
      <c r="AA428">
        <v>0.40200000000000002</v>
      </c>
      <c r="AB428">
        <v>0.40899999999999997</v>
      </c>
      <c r="AC428">
        <v>0.81100000000000005</v>
      </c>
      <c r="AD428">
        <v>33</v>
      </c>
      <c r="AE428">
        <v>0.29499999999999998</v>
      </c>
      <c r="AF428">
        <v>0.4</v>
      </c>
      <c r="AG428">
        <f>(표1[[#This Row],[TB]]-표1[[#This Row],[H]])/표1[[#This Row],[AB]]</f>
        <v>9.8445595854922283E-2</v>
      </c>
      <c r="AH428">
        <f>(표1[[#This Row],[TB]]-표1[[#This Row],[H]]+표1[[#This Row],[BB]]+표1[[#This Row],[SB]]-표1[[#This Row],[CS]])/표1[[#This Row],[AB]]</f>
        <v>0.28756476683937826</v>
      </c>
      <c r="AI428">
        <f>(표1[[#This Row],[TB]]+표1[[#This Row],[BB]]+표1[[#This Row],[HBP]]+표1[[#This Row],[SB]]-표1[[#This Row],[CS]])/(표1[[#This Row],[AB]]-표1[[#This Row],[H]]+표1[[#This Row],[CS]]+표1[[#This Row],[GDP]])</f>
        <v>0.80701754385964908</v>
      </c>
      <c r="AJ42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67.473559322033893</v>
      </c>
      <c r="AK428">
        <f>표1[[#This Row],[RC]]/((표1[[#This Row],[AB]]-표1[[#This Row],[H]]+표1[[#This Row],[SAC]]+표1[[#This Row],[SF]]+표1[[#This Row],[CS]]+표1[[#This Row],[GDP]])/27)</f>
        <v>6.0726203389830502</v>
      </c>
      <c r="AL42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0.36176688453159045</v>
      </c>
      <c r="AM42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64.817999999999998</v>
      </c>
    </row>
    <row r="429" spans="1:39" x14ac:dyDescent="0.3">
      <c r="A429" t="str">
        <f>_xlfn.CONCAT(표1[[#This Row],[Year]],표1[[#This Row],[Player]])</f>
        <v>2012이호준</v>
      </c>
      <c r="B429">
        <v>2012</v>
      </c>
      <c r="C429">
        <v>11</v>
      </c>
      <c r="D429" t="s">
        <v>27</v>
      </c>
      <c r="E429" t="s">
        <v>8</v>
      </c>
      <c r="F429">
        <v>0.3</v>
      </c>
      <c r="G429">
        <v>127</v>
      </c>
      <c r="H429">
        <v>504</v>
      </c>
      <c r="I429">
        <v>426</v>
      </c>
      <c r="J429">
        <v>55</v>
      </c>
      <c r="K429">
        <v>128</v>
      </c>
      <c r="L429">
        <f>표1[[#This Row],[H]]-표1[[#This Row],[2B]]-표1[[#This Row],[3B]]-표1[[#This Row],[HR]]</f>
        <v>84</v>
      </c>
      <c r="M429">
        <v>26</v>
      </c>
      <c r="N429">
        <v>0</v>
      </c>
      <c r="O429">
        <v>18</v>
      </c>
      <c r="P429">
        <v>208</v>
      </c>
      <c r="Q429">
        <v>78</v>
      </c>
      <c r="R429">
        <v>0</v>
      </c>
      <c r="S429">
        <v>1</v>
      </c>
      <c r="T429">
        <v>72</v>
      </c>
      <c r="U429">
        <v>5</v>
      </c>
      <c r="V429">
        <v>3</v>
      </c>
      <c r="W429">
        <v>3</v>
      </c>
      <c r="X429">
        <v>5</v>
      </c>
      <c r="Y429">
        <v>90</v>
      </c>
      <c r="Z429">
        <v>10</v>
      </c>
      <c r="AA429">
        <v>0.48799999999999999</v>
      </c>
      <c r="AB429">
        <v>0.40699999999999997</v>
      </c>
      <c r="AC429">
        <v>0.89500000000000002</v>
      </c>
      <c r="AD429">
        <v>35</v>
      </c>
      <c r="AE429">
        <v>0.30599999999999999</v>
      </c>
      <c r="AF429">
        <v>0</v>
      </c>
      <c r="AG429">
        <f>(표1[[#This Row],[TB]]-표1[[#This Row],[H]])/표1[[#This Row],[AB]]</f>
        <v>0.18779342723004694</v>
      </c>
      <c r="AH429">
        <f>(표1[[#This Row],[TB]]-표1[[#This Row],[H]]+표1[[#This Row],[BB]]+표1[[#This Row],[SB]]-표1[[#This Row],[CS]])/표1[[#This Row],[AB]]</f>
        <v>0.35680751173708919</v>
      </c>
      <c r="AI429">
        <f>(표1[[#This Row],[TB]]+표1[[#This Row],[BB]]+표1[[#This Row],[HBP]]+표1[[#This Row],[SB]]-표1[[#This Row],[CS]])/(표1[[#This Row],[AB]]-표1[[#This Row],[H]]+표1[[#This Row],[CS]]+표1[[#This Row],[GDP]])</f>
        <v>0.91639871382636651</v>
      </c>
      <c r="AJ42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87.161904761904779</v>
      </c>
      <c r="AK429">
        <f>표1[[#This Row],[RC]]/((표1[[#This Row],[AB]]-표1[[#This Row],[H]]+표1[[#This Row],[SAC]]+표1[[#This Row],[SF]]+표1[[#This Row],[CS]]+표1[[#This Row],[GDP]])/27)</f>
        <v>7.5428571428571445</v>
      </c>
      <c r="AL42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0.38855511022044092</v>
      </c>
      <c r="AM42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81.080000000000027</v>
      </c>
    </row>
    <row r="430" spans="1:39" x14ac:dyDescent="0.3">
      <c r="A430" t="str">
        <f>_xlfn.CONCAT(표1[[#This Row],[Year]],표1[[#This Row],[Player]])</f>
        <v>2012이병규</v>
      </c>
      <c r="B430">
        <v>2012</v>
      </c>
      <c r="C430">
        <v>12</v>
      </c>
      <c r="D430" t="s">
        <v>50</v>
      </c>
      <c r="E430" t="s">
        <v>36</v>
      </c>
      <c r="F430">
        <v>0.3</v>
      </c>
      <c r="G430">
        <v>118</v>
      </c>
      <c r="H430">
        <v>455</v>
      </c>
      <c r="I430">
        <v>420</v>
      </c>
      <c r="J430">
        <v>52</v>
      </c>
      <c r="K430">
        <v>126</v>
      </c>
      <c r="L430">
        <f>표1[[#This Row],[H]]-표1[[#This Row],[2B]]-표1[[#This Row],[3B]]-표1[[#This Row],[HR]]</f>
        <v>95</v>
      </c>
      <c r="M430">
        <v>25</v>
      </c>
      <c r="N430">
        <v>1</v>
      </c>
      <c r="O430">
        <v>5</v>
      </c>
      <c r="P430">
        <v>168</v>
      </c>
      <c r="Q430">
        <v>41</v>
      </c>
      <c r="R430">
        <v>5</v>
      </c>
      <c r="S430">
        <v>6</v>
      </c>
      <c r="T430">
        <v>22</v>
      </c>
      <c r="U430">
        <v>1</v>
      </c>
      <c r="V430">
        <v>5</v>
      </c>
      <c r="W430">
        <v>7</v>
      </c>
      <c r="X430">
        <v>2</v>
      </c>
      <c r="Y430">
        <v>58</v>
      </c>
      <c r="Z430">
        <v>18</v>
      </c>
      <c r="AA430">
        <v>0.4</v>
      </c>
      <c r="AB430">
        <v>0.33300000000000002</v>
      </c>
      <c r="AC430">
        <v>0.73299999999999998</v>
      </c>
      <c r="AD430">
        <v>34</v>
      </c>
      <c r="AE430">
        <v>0.23</v>
      </c>
      <c r="AF430">
        <v>0.23100000000000001</v>
      </c>
      <c r="AG430">
        <f>(표1[[#This Row],[TB]]-표1[[#This Row],[H]])/표1[[#This Row],[AB]]</f>
        <v>0.1</v>
      </c>
      <c r="AH430">
        <f>(표1[[#This Row],[TB]]-표1[[#This Row],[H]]+표1[[#This Row],[BB]]+표1[[#This Row],[SB]]-표1[[#This Row],[CS]])/표1[[#This Row],[AB]]</f>
        <v>0.14761904761904762</v>
      </c>
      <c r="AI430">
        <f>(표1[[#This Row],[TB]]+표1[[#This Row],[BB]]+표1[[#This Row],[HBP]]+표1[[#This Row],[SB]]-표1[[#This Row],[CS]])/(표1[[#This Row],[AB]]-표1[[#This Row],[H]]+표1[[#This Row],[CS]]+표1[[#This Row],[GDP]])</f>
        <v>0.59561128526645768</v>
      </c>
      <c r="AJ43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50.082417582417577</v>
      </c>
      <c r="AK430">
        <f>표1[[#This Row],[RC]]/((표1[[#This Row],[AB]]-표1[[#This Row],[H]]+표1[[#This Row],[SAC]]+표1[[#This Row],[SF]]+표1[[#This Row],[CS]]+표1[[#This Row],[GDP]])/27)</f>
        <v>4.0976523476523479</v>
      </c>
      <c r="AL43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0.31902672605790644</v>
      </c>
      <c r="AM43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49.306000000000026</v>
      </c>
    </row>
    <row r="431" spans="1:39" x14ac:dyDescent="0.3">
      <c r="A431" t="str">
        <f>_xlfn.CONCAT(표1[[#This Row],[Year]],표1[[#This Row],[Player]])</f>
        <v>2012최정</v>
      </c>
      <c r="B431">
        <v>2012</v>
      </c>
      <c r="C431">
        <v>13</v>
      </c>
      <c r="D431" t="s">
        <v>92</v>
      </c>
      <c r="E431" t="s">
        <v>8</v>
      </c>
      <c r="F431">
        <v>0.3</v>
      </c>
      <c r="G431">
        <v>130</v>
      </c>
      <c r="H431">
        <v>553</v>
      </c>
      <c r="I431">
        <v>474</v>
      </c>
      <c r="J431">
        <v>85</v>
      </c>
      <c r="K431">
        <v>142</v>
      </c>
      <c r="L431">
        <f>표1[[#This Row],[H]]-표1[[#This Row],[2B]]-표1[[#This Row],[3B]]-표1[[#This Row],[HR]]</f>
        <v>82</v>
      </c>
      <c r="M431">
        <v>33</v>
      </c>
      <c r="N431">
        <v>1</v>
      </c>
      <c r="O431">
        <v>26</v>
      </c>
      <c r="P431">
        <v>255</v>
      </c>
      <c r="Q431">
        <v>84</v>
      </c>
      <c r="R431">
        <v>3</v>
      </c>
      <c r="S431">
        <v>6</v>
      </c>
      <c r="T431">
        <v>49</v>
      </c>
      <c r="U431">
        <v>7</v>
      </c>
      <c r="V431">
        <v>20</v>
      </c>
      <c r="W431">
        <v>8</v>
      </c>
      <c r="X431">
        <v>21</v>
      </c>
      <c r="Y431">
        <v>98</v>
      </c>
      <c r="Z431">
        <v>8</v>
      </c>
      <c r="AA431">
        <v>0.53800000000000003</v>
      </c>
      <c r="AB431">
        <v>0.38500000000000001</v>
      </c>
      <c r="AC431">
        <v>0.92300000000000004</v>
      </c>
      <c r="AD431">
        <v>36</v>
      </c>
      <c r="AE431">
        <v>0.28999999999999998</v>
      </c>
      <c r="AF431">
        <v>0</v>
      </c>
      <c r="AG431">
        <f>(표1[[#This Row],[TB]]-표1[[#This Row],[H]])/표1[[#This Row],[AB]]</f>
        <v>0.23839662447257384</v>
      </c>
      <c r="AH431">
        <f>(표1[[#This Row],[TB]]-표1[[#This Row],[H]]+표1[[#This Row],[BB]]+표1[[#This Row],[SB]]-표1[[#This Row],[CS]])/표1[[#This Row],[AB]]</f>
        <v>0.36708860759493672</v>
      </c>
      <c r="AI431">
        <f>(표1[[#This Row],[TB]]+표1[[#This Row],[BB]]+표1[[#This Row],[HBP]]+표1[[#This Row],[SB]]-표1[[#This Row],[CS]])/(표1[[#This Row],[AB]]-표1[[#This Row],[H]]+표1[[#This Row],[CS]]+표1[[#This Row],[GDP]])</f>
        <v>0.9683908045977011</v>
      </c>
      <c r="AJ43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101.53012658227847</v>
      </c>
      <c r="AK431">
        <f>표1[[#This Row],[RC]]/((표1[[#This Row],[AB]]-표1[[#This Row],[H]]+표1[[#This Row],[SAC]]+표1[[#This Row],[SF]]+표1[[#This Row],[CS]]+표1[[#This Row],[GDP]])/27)</f>
        <v>7.6787490692479521</v>
      </c>
      <c r="AL43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0.39273296500920801</v>
      </c>
      <c r="AM43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96.165999999999997</v>
      </c>
    </row>
    <row r="432" spans="1:39" x14ac:dyDescent="0.3">
      <c r="A432" t="str">
        <f>_xlfn.CONCAT(표1[[#This Row],[Year]],표1[[#This Row],[Player]])</f>
        <v>2012김주찬</v>
      </c>
      <c r="B432">
        <v>2012</v>
      </c>
      <c r="C432">
        <v>14</v>
      </c>
      <c r="D432" t="s">
        <v>65</v>
      </c>
      <c r="E432" t="s">
        <v>17</v>
      </c>
      <c r="F432">
        <v>0.29399999999999998</v>
      </c>
      <c r="G432">
        <v>118</v>
      </c>
      <c r="H432">
        <v>488</v>
      </c>
      <c r="I432">
        <v>435</v>
      </c>
      <c r="J432">
        <v>62</v>
      </c>
      <c r="K432">
        <v>128</v>
      </c>
      <c r="L432">
        <f>표1[[#This Row],[H]]-표1[[#This Row],[2B]]-표1[[#This Row],[3B]]-표1[[#This Row],[HR]]</f>
        <v>93</v>
      </c>
      <c r="M432">
        <v>27</v>
      </c>
      <c r="N432">
        <v>3</v>
      </c>
      <c r="O432">
        <v>5</v>
      </c>
      <c r="P432">
        <v>176</v>
      </c>
      <c r="Q432">
        <v>39</v>
      </c>
      <c r="R432">
        <v>11</v>
      </c>
      <c r="S432">
        <v>5</v>
      </c>
      <c r="T432">
        <v>30</v>
      </c>
      <c r="U432">
        <v>1</v>
      </c>
      <c r="V432">
        <v>32</v>
      </c>
      <c r="W432">
        <v>13</v>
      </c>
      <c r="X432">
        <v>7</v>
      </c>
      <c r="Y432">
        <v>48</v>
      </c>
      <c r="Z432">
        <v>7</v>
      </c>
      <c r="AA432">
        <v>0.40500000000000003</v>
      </c>
      <c r="AB432">
        <v>0.34599999999999997</v>
      </c>
      <c r="AC432">
        <v>0.751</v>
      </c>
      <c r="AD432">
        <v>39</v>
      </c>
      <c r="AE432">
        <v>0.27800000000000002</v>
      </c>
      <c r="AF432">
        <v>0.33300000000000002</v>
      </c>
      <c r="AG432">
        <f>(표1[[#This Row],[TB]]-표1[[#This Row],[H]])/표1[[#This Row],[AB]]</f>
        <v>0.1103448275862069</v>
      </c>
      <c r="AH432">
        <f>(표1[[#This Row],[TB]]-표1[[#This Row],[H]]+표1[[#This Row],[BB]]+표1[[#This Row],[SB]]-표1[[#This Row],[CS]])/표1[[#This Row],[AB]]</f>
        <v>0.22298850574712645</v>
      </c>
      <c r="AI432">
        <f>(표1[[#This Row],[TB]]+표1[[#This Row],[BB]]+표1[[#This Row],[HBP]]+표1[[#This Row],[SB]]-표1[[#This Row],[CS]])/(표1[[#This Row],[AB]]-표1[[#This Row],[H]]+표1[[#This Row],[CS]]+표1[[#This Row],[GDP]])</f>
        <v>0.70948012232415902</v>
      </c>
      <c r="AJ43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62.492622950819673</v>
      </c>
      <c r="AK432">
        <f>표1[[#This Row],[RC]]/((표1[[#This Row],[AB]]-표1[[#This Row],[H]]+표1[[#This Row],[SAC]]+표1[[#This Row],[SF]]+표1[[#This Row],[CS]]+표1[[#This Row],[GDP]])/27)</f>
        <v>4.9192443722219563</v>
      </c>
      <c r="AL43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0.32838865546218488</v>
      </c>
      <c r="AM43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62.036000000000008</v>
      </c>
    </row>
    <row r="433" spans="1:39" x14ac:dyDescent="0.3">
      <c r="A433" t="str">
        <f>_xlfn.CONCAT(표1[[#This Row],[Year]],표1[[#This Row],[Player]])</f>
        <v>2012홍성흔</v>
      </c>
      <c r="B433">
        <v>2012</v>
      </c>
      <c r="C433">
        <v>15</v>
      </c>
      <c r="D433" t="s">
        <v>49</v>
      </c>
      <c r="E433" t="s">
        <v>17</v>
      </c>
      <c r="F433">
        <v>0.29199999999999998</v>
      </c>
      <c r="G433">
        <v>113</v>
      </c>
      <c r="H433">
        <v>443</v>
      </c>
      <c r="I433">
        <v>390</v>
      </c>
      <c r="J433">
        <v>48</v>
      </c>
      <c r="K433">
        <v>114</v>
      </c>
      <c r="L433">
        <f>표1[[#This Row],[H]]-표1[[#This Row],[2B]]-표1[[#This Row],[3B]]-표1[[#This Row],[HR]]</f>
        <v>79</v>
      </c>
      <c r="M433">
        <v>20</v>
      </c>
      <c r="N433">
        <v>0</v>
      </c>
      <c r="O433">
        <v>15</v>
      </c>
      <c r="P433">
        <v>179</v>
      </c>
      <c r="Q433">
        <v>74</v>
      </c>
      <c r="R433">
        <v>1</v>
      </c>
      <c r="S433">
        <v>3</v>
      </c>
      <c r="T433">
        <v>47</v>
      </c>
      <c r="U433">
        <v>3</v>
      </c>
      <c r="V433">
        <v>4</v>
      </c>
      <c r="W433">
        <v>5</v>
      </c>
      <c r="X433">
        <v>2</v>
      </c>
      <c r="Y433">
        <v>83</v>
      </c>
      <c r="Z433">
        <v>10</v>
      </c>
      <c r="AA433">
        <v>0.45900000000000002</v>
      </c>
      <c r="AB433">
        <v>0.36899999999999999</v>
      </c>
      <c r="AC433">
        <v>0.82799999999999996</v>
      </c>
      <c r="AD433">
        <v>29</v>
      </c>
      <c r="AE433">
        <v>0.29699999999999999</v>
      </c>
      <c r="AF433">
        <v>0.5</v>
      </c>
      <c r="AG433">
        <f>(표1[[#This Row],[TB]]-표1[[#This Row],[H]])/표1[[#This Row],[AB]]</f>
        <v>0.16666666666666666</v>
      </c>
      <c r="AH433">
        <f>(표1[[#This Row],[TB]]-표1[[#This Row],[H]]+표1[[#This Row],[BB]]+표1[[#This Row],[SB]]-표1[[#This Row],[CS]])/표1[[#This Row],[AB]]</f>
        <v>0.2846153846153846</v>
      </c>
      <c r="AI433">
        <f>(표1[[#This Row],[TB]]+표1[[#This Row],[BB]]+표1[[#This Row],[HBP]]+표1[[#This Row],[SB]]-표1[[#This Row],[CS]])/(표1[[#This Row],[AB]]-표1[[#This Row],[H]]+표1[[#This Row],[CS]]+표1[[#This Row],[GDP]])</f>
        <v>0.78006872852233677</v>
      </c>
      <c r="AJ43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65.186817155756216</v>
      </c>
      <c r="AK433">
        <f>표1[[#This Row],[RC]]/((표1[[#This Row],[AB]]-표1[[#This Row],[H]]+표1[[#This Row],[SAC]]+표1[[#This Row],[SF]]+표1[[#This Row],[CS]]+표1[[#This Row],[GDP]])/27)</f>
        <v>5.9662510617132813</v>
      </c>
      <c r="AL43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0.35921184510250564</v>
      </c>
      <c r="AM43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62.955999999999996</v>
      </c>
    </row>
    <row r="434" spans="1:39" x14ac:dyDescent="0.3">
      <c r="A434" t="str">
        <f>_xlfn.CONCAT(표1[[#This Row],[Year]],표1[[#This Row],[Player]])</f>
        <v>2012김현수</v>
      </c>
      <c r="B434">
        <v>2012</v>
      </c>
      <c r="C434">
        <v>16</v>
      </c>
      <c r="D434" t="s">
        <v>98</v>
      </c>
      <c r="E434" t="s">
        <v>1</v>
      </c>
      <c r="F434">
        <v>0.29099999999999998</v>
      </c>
      <c r="G434">
        <v>122</v>
      </c>
      <c r="H434">
        <v>491</v>
      </c>
      <c r="I434">
        <v>437</v>
      </c>
      <c r="J434">
        <v>47</v>
      </c>
      <c r="K434">
        <v>127</v>
      </c>
      <c r="L434">
        <f>표1[[#This Row],[H]]-표1[[#This Row],[2B]]-표1[[#This Row],[3B]]-표1[[#This Row],[HR]]</f>
        <v>102</v>
      </c>
      <c r="M434">
        <v>17</v>
      </c>
      <c r="N434">
        <v>1</v>
      </c>
      <c r="O434">
        <v>7</v>
      </c>
      <c r="P434">
        <v>167</v>
      </c>
      <c r="Q434">
        <v>65</v>
      </c>
      <c r="R434">
        <v>0</v>
      </c>
      <c r="S434">
        <v>5</v>
      </c>
      <c r="T434">
        <v>46</v>
      </c>
      <c r="U434">
        <v>2</v>
      </c>
      <c r="V434">
        <v>6</v>
      </c>
      <c r="W434">
        <v>3</v>
      </c>
      <c r="X434">
        <v>3</v>
      </c>
      <c r="Y434">
        <v>50</v>
      </c>
      <c r="Z434">
        <v>9</v>
      </c>
      <c r="AA434">
        <v>0.38200000000000001</v>
      </c>
      <c r="AB434">
        <v>0.35799999999999998</v>
      </c>
      <c r="AC434">
        <v>0.74</v>
      </c>
      <c r="AD434">
        <v>34</v>
      </c>
      <c r="AE434">
        <v>0.38400000000000001</v>
      </c>
      <c r="AF434">
        <v>0</v>
      </c>
      <c r="AG434">
        <f>(표1[[#This Row],[TB]]-표1[[#This Row],[H]])/표1[[#This Row],[AB]]</f>
        <v>9.1533180778032033E-2</v>
      </c>
      <c r="AH434">
        <f>(표1[[#This Row],[TB]]-표1[[#This Row],[H]]+표1[[#This Row],[BB]]+표1[[#This Row],[SB]]-표1[[#This Row],[CS]])/표1[[#This Row],[AB]]</f>
        <v>0.20366132723112129</v>
      </c>
      <c r="AI434">
        <f>(표1[[#This Row],[TB]]+표1[[#This Row],[BB]]+표1[[#This Row],[HBP]]+표1[[#This Row],[SB]]-표1[[#This Row],[CS]])/(표1[[#This Row],[AB]]-표1[[#This Row],[H]]+표1[[#This Row],[CS]]+표1[[#This Row],[GDP]])</f>
        <v>0.68012422360248448</v>
      </c>
      <c r="AJ43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61.772219959266799</v>
      </c>
      <c r="AK434">
        <f>표1[[#This Row],[RC]]/((표1[[#This Row],[AB]]-표1[[#This Row],[H]]+표1[[#This Row],[SAC]]+표1[[#This Row],[SF]]+표1[[#This Row],[CS]]+표1[[#This Row],[GDP]])/27)</f>
        <v>5.1004585287467998</v>
      </c>
      <c r="AL43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0.32741513292433538</v>
      </c>
      <c r="AM43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61.180000000000021</v>
      </c>
    </row>
    <row r="435" spans="1:39" x14ac:dyDescent="0.3">
      <c r="A435" t="str">
        <f>_xlfn.CONCAT(표1[[#This Row],[Year]],표1[[#This Row],[Player]])</f>
        <v>2012박병호</v>
      </c>
      <c r="B435">
        <v>2012</v>
      </c>
      <c r="C435">
        <v>17</v>
      </c>
      <c r="D435" t="s">
        <v>142</v>
      </c>
      <c r="E435" t="s">
        <v>125</v>
      </c>
      <c r="F435">
        <v>0.28999999999999998</v>
      </c>
      <c r="G435">
        <v>133</v>
      </c>
      <c r="H435">
        <v>560</v>
      </c>
      <c r="I435">
        <v>469</v>
      </c>
      <c r="J435">
        <v>76</v>
      </c>
      <c r="K435">
        <v>136</v>
      </c>
      <c r="L435">
        <f>표1[[#This Row],[H]]-표1[[#This Row],[2B]]-표1[[#This Row],[3B]]-표1[[#This Row],[HR]]</f>
        <v>71</v>
      </c>
      <c r="M435">
        <v>34</v>
      </c>
      <c r="N435">
        <v>0</v>
      </c>
      <c r="O435">
        <v>31</v>
      </c>
      <c r="P435">
        <v>263</v>
      </c>
      <c r="Q435">
        <v>105</v>
      </c>
      <c r="R435">
        <v>0</v>
      </c>
      <c r="S435">
        <v>7</v>
      </c>
      <c r="T435">
        <v>73</v>
      </c>
      <c r="U435">
        <v>3</v>
      </c>
      <c r="V435">
        <v>20</v>
      </c>
      <c r="W435">
        <v>9</v>
      </c>
      <c r="X435">
        <v>11</v>
      </c>
      <c r="Y435">
        <v>111</v>
      </c>
      <c r="Z435">
        <v>6</v>
      </c>
      <c r="AA435">
        <v>0.56100000000000005</v>
      </c>
      <c r="AB435">
        <v>0.39300000000000002</v>
      </c>
      <c r="AC435">
        <v>0.95399999999999996</v>
      </c>
      <c r="AD435">
        <v>40</v>
      </c>
      <c r="AE435">
        <v>0.316</v>
      </c>
      <c r="AF435">
        <v>0</v>
      </c>
      <c r="AG435">
        <f>(표1[[#This Row],[TB]]-표1[[#This Row],[H]])/표1[[#This Row],[AB]]</f>
        <v>0.27078891257995735</v>
      </c>
      <c r="AH435">
        <f>(표1[[#This Row],[TB]]-표1[[#This Row],[H]]+표1[[#This Row],[BB]]+표1[[#This Row],[SB]]-표1[[#This Row],[CS]])/표1[[#This Row],[AB]]</f>
        <v>0.44989339019189767</v>
      </c>
      <c r="AI435">
        <f>(표1[[#This Row],[TB]]+표1[[#This Row],[BB]]+표1[[#This Row],[HBP]]+표1[[#This Row],[SB]]-표1[[#This Row],[CS]])/(표1[[#This Row],[AB]]-표1[[#This Row],[H]]+표1[[#This Row],[CS]]+표1[[#This Row],[GDP]])</f>
        <v>1.0287356321839081</v>
      </c>
      <c r="AJ43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109.12589285714287</v>
      </c>
      <c r="AK435">
        <f>표1[[#This Row],[RC]]/((표1[[#This Row],[AB]]-표1[[#This Row],[H]]+표1[[#This Row],[SAC]]+표1[[#This Row],[SF]]+표1[[#This Row],[CS]]+표1[[#This Row],[GDP]])/27)</f>
        <v>8.2997157947686127</v>
      </c>
      <c r="AL43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0.40504847396768401</v>
      </c>
      <c r="AM43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103.142</v>
      </c>
    </row>
    <row r="436" spans="1:39" x14ac:dyDescent="0.3">
      <c r="A436" t="str">
        <f>_xlfn.CONCAT(표1[[#This Row],[Year]],표1[[#This Row],[Player]])</f>
        <v>2012안치홍</v>
      </c>
      <c r="B436">
        <v>2012</v>
      </c>
      <c r="C436">
        <v>18</v>
      </c>
      <c r="D436" t="s">
        <v>122</v>
      </c>
      <c r="E436" t="s">
        <v>13</v>
      </c>
      <c r="F436">
        <v>0.28799999999999998</v>
      </c>
      <c r="G436">
        <v>132</v>
      </c>
      <c r="H436">
        <v>558</v>
      </c>
      <c r="I436">
        <v>489</v>
      </c>
      <c r="J436">
        <v>60</v>
      </c>
      <c r="K436">
        <v>141</v>
      </c>
      <c r="L436">
        <f>표1[[#This Row],[H]]-표1[[#This Row],[2B]]-표1[[#This Row],[3B]]-표1[[#This Row],[HR]]</f>
        <v>105</v>
      </c>
      <c r="M436">
        <v>31</v>
      </c>
      <c r="N436">
        <v>2</v>
      </c>
      <c r="O436">
        <v>3</v>
      </c>
      <c r="P436">
        <v>185</v>
      </c>
      <c r="Q436">
        <v>64</v>
      </c>
      <c r="R436">
        <v>14</v>
      </c>
      <c r="S436">
        <v>7</v>
      </c>
      <c r="T436">
        <v>42</v>
      </c>
      <c r="U436">
        <v>4</v>
      </c>
      <c r="V436">
        <v>20</v>
      </c>
      <c r="W436">
        <v>3</v>
      </c>
      <c r="X436">
        <v>6</v>
      </c>
      <c r="Y436">
        <v>74</v>
      </c>
      <c r="Z436">
        <v>12</v>
      </c>
      <c r="AA436">
        <v>0.378</v>
      </c>
      <c r="AB436">
        <v>0.34699999999999998</v>
      </c>
      <c r="AC436">
        <v>0.72499999999999998</v>
      </c>
      <c r="AD436">
        <v>41</v>
      </c>
      <c r="AE436">
        <v>0.36399999999999999</v>
      </c>
      <c r="AF436">
        <v>0</v>
      </c>
      <c r="AG436">
        <f>(표1[[#This Row],[TB]]-표1[[#This Row],[H]])/표1[[#This Row],[AB]]</f>
        <v>8.9979550102249492E-2</v>
      </c>
      <c r="AH436">
        <f>(표1[[#This Row],[TB]]-표1[[#This Row],[H]]+표1[[#This Row],[BB]]+표1[[#This Row],[SB]]-표1[[#This Row],[CS]])/표1[[#This Row],[AB]]</f>
        <v>0.21063394683026584</v>
      </c>
      <c r="AI436">
        <f>(표1[[#This Row],[TB]]+표1[[#This Row],[BB]]+표1[[#This Row],[HBP]]+표1[[#This Row],[SB]]-표1[[#This Row],[CS]])/(표1[[#This Row],[AB]]-표1[[#This Row],[H]]+표1[[#This Row],[CS]]+표1[[#This Row],[GDP]])</f>
        <v>0.68870523415977958</v>
      </c>
      <c r="AJ43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67.903655913978497</v>
      </c>
      <c r="AK436">
        <f>표1[[#This Row],[RC]]/((표1[[#This Row],[AB]]-표1[[#This Row],[H]]+표1[[#This Row],[SAC]]+표1[[#This Row],[SF]]+표1[[#This Row],[CS]]+표1[[#This Row],[GDP]])/27)</f>
        <v>4.7744758064516137</v>
      </c>
      <c r="AL43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0.31803148148148153</v>
      </c>
      <c r="AM43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66.618000000000009</v>
      </c>
    </row>
    <row r="437" spans="1:39" x14ac:dyDescent="0.3">
      <c r="A437" t="str">
        <f>_xlfn.CONCAT(표1[[#This Row],[Year]],표1[[#This Row],[Player]])</f>
        <v>2012이용규</v>
      </c>
      <c r="B437">
        <v>2012</v>
      </c>
      <c r="C437">
        <v>19</v>
      </c>
      <c r="D437" t="s">
        <v>74</v>
      </c>
      <c r="E437" t="s">
        <v>13</v>
      </c>
      <c r="F437">
        <v>0.28299999999999997</v>
      </c>
      <c r="G437">
        <v>125</v>
      </c>
      <c r="H437">
        <v>580</v>
      </c>
      <c r="I437">
        <v>491</v>
      </c>
      <c r="J437">
        <v>86</v>
      </c>
      <c r="K437">
        <v>139</v>
      </c>
      <c r="L437">
        <f>표1[[#This Row],[H]]-표1[[#This Row],[2B]]-표1[[#This Row],[3B]]-표1[[#This Row],[HR]]</f>
        <v>121</v>
      </c>
      <c r="M437">
        <v>14</v>
      </c>
      <c r="N437">
        <v>2</v>
      </c>
      <c r="O437">
        <v>2</v>
      </c>
      <c r="P437">
        <v>163</v>
      </c>
      <c r="Q437">
        <v>37</v>
      </c>
      <c r="R437">
        <v>10</v>
      </c>
      <c r="S437">
        <v>3</v>
      </c>
      <c r="T437">
        <v>66</v>
      </c>
      <c r="U437">
        <v>0</v>
      </c>
      <c r="V437">
        <v>44</v>
      </c>
      <c r="W437">
        <v>12</v>
      </c>
      <c r="X437">
        <v>10</v>
      </c>
      <c r="Y437">
        <v>38</v>
      </c>
      <c r="Z437">
        <v>9</v>
      </c>
      <c r="AA437">
        <v>0.33200000000000002</v>
      </c>
      <c r="AB437">
        <v>0.377</v>
      </c>
      <c r="AC437">
        <v>0.70899999999999996</v>
      </c>
      <c r="AD437">
        <v>38</v>
      </c>
      <c r="AE437">
        <v>0.29199999999999998</v>
      </c>
      <c r="AF437">
        <v>0</v>
      </c>
      <c r="AG437">
        <f>(표1[[#This Row],[TB]]-표1[[#This Row],[H]])/표1[[#This Row],[AB]]</f>
        <v>4.8879837067209775E-2</v>
      </c>
      <c r="AH437">
        <f>(표1[[#This Row],[TB]]-표1[[#This Row],[H]]+표1[[#This Row],[BB]]+표1[[#This Row],[SB]]-표1[[#This Row],[CS]])/표1[[#This Row],[AB]]</f>
        <v>0.2484725050916497</v>
      </c>
      <c r="AI437">
        <f>(표1[[#This Row],[TB]]+표1[[#This Row],[BB]]+표1[[#This Row],[HBP]]+표1[[#This Row],[SB]]-표1[[#This Row],[CS]])/(표1[[#This Row],[AB]]-표1[[#This Row],[H]]+표1[[#This Row],[CS]]+표1[[#This Row],[GDP]])</f>
        <v>0.72654155495978556</v>
      </c>
      <c r="AJ43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71.044137931034484</v>
      </c>
      <c r="AK437">
        <f>표1[[#This Row],[RC]]/((표1[[#This Row],[AB]]-표1[[#This Row],[H]]+표1[[#This Row],[SAC]]+표1[[#This Row],[SF]]+표1[[#This Row],[CS]]+표1[[#This Row],[GDP]])/27)</f>
        <v>4.9694086117562986</v>
      </c>
      <c r="AL43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0.32401754385964909</v>
      </c>
      <c r="AM43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71.656000000000006</v>
      </c>
    </row>
    <row r="438" spans="1:39" x14ac:dyDescent="0.3">
      <c r="A438" t="str">
        <f>_xlfn.CONCAT(표1[[#This Row],[Year]],표1[[#This Row],[Player]])</f>
        <v>2012김선빈</v>
      </c>
      <c r="B438">
        <v>2012</v>
      </c>
      <c r="C438">
        <v>20</v>
      </c>
      <c r="D438" t="s">
        <v>137</v>
      </c>
      <c r="E438" t="s">
        <v>13</v>
      </c>
      <c r="F438">
        <v>0.28100000000000003</v>
      </c>
      <c r="G438">
        <v>126</v>
      </c>
      <c r="H438">
        <v>532</v>
      </c>
      <c r="I438">
        <v>441</v>
      </c>
      <c r="J438">
        <v>63</v>
      </c>
      <c r="K438">
        <v>124</v>
      </c>
      <c r="L438">
        <f>표1[[#This Row],[H]]-표1[[#This Row],[2B]]-표1[[#This Row],[3B]]-표1[[#This Row],[HR]]</f>
        <v>98</v>
      </c>
      <c r="M438">
        <v>19</v>
      </c>
      <c r="N438">
        <v>2</v>
      </c>
      <c r="O438">
        <v>5</v>
      </c>
      <c r="P438">
        <v>162</v>
      </c>
      <c r="Q438">
        <v>55</v>
      </c>
      <c r="R438">
        <v>25</v>
      </c>
      <c r="S438">
        <v>6</v>
      </c>
      <c r="T438">
        <v>58</v>
      </c>
      <c r="U438">
        <v>0</v>
      </c>
      <c r="V438">
        <v>30</v>
      </c>
      <c r="W438">
        <v>12</v>
      </c>
      <c r="X438">
        <v>2</v>
      </c>
      <c r="Y438">
        <v>48</v>
      </c>
      <c r="Z438">
        <v>9</v>
      </c>
      <c r="AA438">
        <v>0.36699999999999999</v>
      </c>
      <c r="AB438">
        <v>0.36299999999999999</v>
      </c>
      <c r="AC438">
        <v>0.73</v>
      </c>
      <c r="AD438">
        <v>30</v>
      </c>
      <c r="AE438">
        <v>0.33100000000000002</v>
      </c>
      <c r="AF438">
        <v>0.66700000000000004</v>
      </c>
      <c r="AG438">
        <f>(표1[[#This Row],[TB]]-표1[[#This Row],[H]])/표1[[#This Row],[AB]]</f>
        <v>8.6167800453514742E-2</v>
      </c>
      <c r="AH438">
        <f>(표1[[#This Row],[TB]]-표1[[#This Row],[H]]+표1[[#This Row],[BB]]+표1[[#This Row],[SB]]-표1[[#This Row],[CS]])/표1[[#This Row],[AB]]</f>
        <v>0.25850340136054423</v>
      </c>
      <c r="AI438">
        <f>(표1[[#This Row],[TB]]+표1[[#This Row],[BB]]+표1[[#This Row],[HBP]]+표1[[#This Row],[SB]]-표1[[#This Row],[CS]])/(표1[[#This Row],[AB]]-표1[[#This Row],[H]]+표1[[#This Row],[CS]]+표1[[#This Row],[GDP]])</f>
        <v>0.7100591715976331</v>
      </c>
      <c r="AJ43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64.133759398496238</v>
      </c>
      <c r="AK438">
        <f>표1[[#This Row],[RC]]/((표1[[#This Row],[AB]]-표1[[#This Row],[H]]+표1[[#This Row],[SAC]]+표1[[#This Row],[SF]]+표1[[#This Row],[CS]]+표1[[#This Row],[GDP]])/27)</f>
        <v>4.6927141023289929</v>
      </c>
      <c r="AL43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0.32645562130177513</v>
      </c>
      <c r="AM43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64.896000000000001</v>
      </c>
    </row>
    <row r="439" spans="1:39" x14ac:dyDescent="0.3">
      <c r="A439" t="str">
        <f>_xlfn.CONCAT(표1[[#This Row],[Year]],표1[[#This Row],[Player]])</f>
        <v>2012이대수</v>
      </c>
      <c r="B439">
        <v>2012</v>
      </c>
      <c r="C439">
        <v>21</v>
      </c>
      <c r="D439" t="s">
        <v>82</v>
      </c>
      <c r="E439" t="s">
        <v>11</v>
      </c>
      <c r="F439">
        <v>0.27900000000000003</v>
      </c>
      <c r="G439">
        <v>118</v>
      </c>
      <c r="H439">
        <v>425</v>
      </c>
      <c r="I439">
        <v>376</v>
      </c>
      <c r="J439">
        <v>36</v>
      </c>
      <c r="K439">
        <v>105</v>
      </c>
      <c r="L439">
        <f>표1[[#This Row],[H]]-표1[[#This Row],[2B]]-표1[[#This Row],[3B]]-표1[[#This Row],[HR]]</f>
        <v>74</v>
      </c>
      <c r="M439">
        <v>23</v>
      </c>
      <c r="N439">
        <v>4</v>
      </c>
      <c r="O439">
        <v>4</v>
      </c>
      <c r="P439">
        <v>148</v>
      </c>
      <c r="Q439">
        <v>48</v>
      </c>
      <c r="R439">
        <v>14</v>
      </c>
      <c r="S439">
        <v>5</v>
      </c>
      <c r="T439">
        <v>27</v>
      </c>
      <c r="U439">
        <v>0</v>
      </c>
      <c r="V439">
        <v>5</v>
      </c>
      <c r="W439">
        <v>1</v>
      </c>
      <c r="X439">
        <v>3</v>
      </c>
      <c r="Y439">
        <v>57</v>
      </c>
      <c r="Z439">
        <v>9</v>
      </c>
      <c r="AA439">
        <v>0.39400000000000002</v>
      </c>
      <c r="AB439">
        <v>0.32800000000000001</v>
      </c>
      <c r="AC439">
        <v>0.72199999999999998</v>
      </c>
      <c r="AD439">
        <v>22</v>
      </c>
      <c r="AE439">
        <v>0.27400000000000002</v>
      </c>
      <c r="AF439">
        <v>0.4</v>
      </c>
      <c r="AG439">
        <f>(표1[[#This Row],[TB]]-표1[[#This Row],[H]])/표1[[#This Row],[AB]]</f>
        <v>0.11436170212765957</v>
      </c>
      <c r="AH439">
        <f>(표1[[#This Row],[TB]]-표1[[#This Row],[H]]+표1[[#This Row],[BB]]+표1[[#This Row],[SB]]-표1[[#This Row],[CS]])/표1[[#This Row],[AB]]</f>
        <v>0.19680851063829788</v>
      </c>
      <c r="AI439">
        <f>(표1[[#This Row],[TB]]+표1[[#This Row],[BB]]+표1[[#This Row],[HBP]]+표1[[#This Row],[SB]]-표1[[#This Row],[CS]])/(표1[[#This Row],[AB]]-표1[[#This Row],[H]]+표1[[#This Row],[CS]]+표1[[#This Row],[GDP]])</f>
        <v>0.64768683274021355</v>
      </c>
      <c r="AJ43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49.494117647058822</v>
      </c>
      <c r="AK439">
        <f>표1[[#This Row],[RC]]/((표1[[#This Row],[AB]]-표1[[#This Row],[H]]+표1[[#This Row],[SAC]]+표1[[#This Row],[SF]]+표1[[#This Row],[CS]]+표1[[#This Row],[GDP]])/27)</f>
        <v>4.454470588235294</v>
      </c>
      <c r="AL43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0.31570316301703166</v>
      </c>
      <c r="AM43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48.494000000000007</v>
      </c>
    </row>
    <row r="440" spans="1:39" x14ac:dyDescent="0.3">
      <c r="A440" t="str">
        <f>_xlfn.CONCAT(표1[[#This Row],[Year]],표1[[#This Row],[Player]])</f>
        <v>2012양의지</v>
      </c>
      <c r="B440">
        <v>2012</v>
      </c>
      <c r="C440">
        <v>22</v>
      </c>
      <c r="D440" t="s">
        <v>131</v>
      </c>
      <c r="E440" t="s">
        <v>1</v>
      </c>
      <c r="F440">
        <v>0.27900000000000003</v>
      </c>
      <c r="G440">
        <v>122</v>
      </c>
      <c r="H440">
        <v>416</v>
      </c>
      <c r="I440">
        <v>359</v>
      </c>
      <c r="J440">
        <v>39</v>
      </c>
      <c r="K440">
        <v>100</v>
      </c>
      <c r="L440">
        <f>표1[[#This Row],[H]]-표1[[#This Row],[2B]]-표1[[#This Row],[3B]]-표1[[#This Row],[HR]]</f>
        <v>72</v>
      </c>
      <c r="M440">
        <v>22</v>
      </c>
      <c r="N440">
        <v>1</v>
      </c>
      <c r="O440">
        <v>5</v>
      </c>
      <c r="P440">
        <v>139</v>
      </c>
      <c r="Q440">
        <v>27</v>
      </c>
      <c r="R440">
        <v>9</v>
      </c>
      <c r="S440">
        <v>1</v>
      </c>
      <c r="T440">
        <v>37</v>
      </c>
      <c r="U440">
        <v>2</v>
      </c>
      <c r="V440">
        <v>1</v>
      </c>
      <c r="W440">
        <v>2</v>
      </c>
      <c r="X440">
        <v>10</v>
      </c>
      <c r="Y440">
        <v>51</v>
      </c>
      <c r="Z440">
        <v>17</v>
      </c>
      <c r="AA440">
        <v>0.38700000000000001</v>
      </c>
      <c r="AB440">
        <v>0.36099999999999999</v>
      </c>
      <c r="AC440">
        <v>0.748</v>
      </c>
      <c r="AD440">
        <v>24</v>
      </c>
      <c r="AE440">
        <v>0.21199999999999999</v>
      </c>
      <c r="AF440">
        <v>0.125</v>
      </c>
      <c r="AG440">
        <f>(표1[[#This Row],[TB]]-표1[[#This Row],[H]])/표1[[#This Row],[AB]]</f>
        <v>0.10863509749303621</v>
      </c>
      <c r="AH440">
        <f>(표1[[#This Row],[TB]]-표1[[#This Row],[H]]+표1[[#This Row],[BB]]+표1[[#This Row],[SB]]-표1[[#This Row],[CS]])/표1[[#This Row],[AB]]</f>
        <v>0.20891364902506965</v>
      </c>
      <c r="AI440">
        <f>(표1[[#This Row],[TB]]+표1[[#This Row],[BB]]+표1[[#This Row],[HBP]]+표1[[#This Row],[SB]]-표1[[#This Row],[CS]])/(표1[[#This Row],[AB]]-표1[[#This Row],[H]]+표1[[#This Row],[CS]]+표1[[#This Row],[GDP]])</f>
        <v>0.66546762589928055</v>
      </c>
      <c r="AJ44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48.129230769230766</v>
      </c>
      <c r="AK440">
        <f>표1[[#This Row],[RC]]/((표1[[#This Row],[AB]]-표1[[#This Row],[H]]+표1[[#This Row],[SAC]]+표1[[#This Row],[SF]]+표1[[#This Row],[CS]]+표1[[#This Row],[GDP]])/27)</f>
        <v>4.5121153846153845</v>
      </c>
      <c r="AL44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0.332320987654321</v>
      </c>
      <c r="AM44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46.141999999999996</v>
      </c>
    </row>
    <row r="441" spans="1:39" x14ac:dyDescent="0.3">
      <c r="A441" t="str">
        <f>_xlfn.CONCAT(표1[[#This Row],[Year]],표1[[#This Row],[Player]])</f>
        <v>2012김상수</v>
      </c>
      <c r="B441">
        <v>2012</v>
      </c>
      <c r="C441">
        <v>23</v>
      </c>
      <c r="D441" t="s">
        <v>139</v>
      </c>
      <c r="E441" t="s">
        <v>6</v>
      </c>
      <c r="F441">
        <v>0.27400000000000002</v>
      </c>
      <c r="G441">
        <v>129</v>
      </c>
      <c r="H441">
        <v>489</v>
      </c>
      <c r="I441">
        <v>419</v>
      </c>
      <c r="J441">
        <v>64</v>
      </c>
      <c r="K441">
        <v>115</v>
      </c>
      <c r="L441">
        <f>표1[[#This Row],[H]]-표1[[#This Row],[2B]]-표1[[#This Row],[3B]]-표1[[#This Row],[HR]]</f>
        <v>91</v>
      </c>
      <c r="M441">
        <v>18</v>
      </c>
      <c r="N441">
        <v>4</v>
      </c>
      <c r="O441">
        <v>2</v>
      </c>
      <c r="P441">
        <v>147</v>
      </c>
      <c r="Q441">
        <v>36</v>
      </c>
      <c r="R441">
        <v>16</v>
      </c>
      <c r="S441">
        <v>6</v>
      </c>
      <c r="T441">
        <v>41</v>
      </c>
      <c r="U441">
        <v>1</v>
      </c>
      <c r="V441">
        <v>25</v>
      </c>
      <c r="W441">
        <v>11</v>
      </c>
      <c r="X441">
        <v>7</v>
      </c>
      <c r="Y441">
        <v>56</v>
      </c>
      <c r="Z441">
        <v>8</v>
      </c>
      <c r="AA441">
        <v>0.35099999999999998</v>
      </c>
      <c r="AB441">
        <v>0.34499999999999997</v>
      </c>
      <c r="AC441">
        <v>0.69599999999999995</v>
      </c>
      <c r="AD441">
        <v>27</v>
      </c>
      <c r="AE441">
        <v>0.224</v>
      </c>
      <c r="AF441">
        <v>0</v>
      </c>
      <c r="AG441">
        <f>(표1[[#This Row],[TB]]-표1[[#This Row],[H]])/표1[[#This Row],[AB]]</f>
        <v>7.6372315035799526E-2</v>
      </c>
      <c r="AH441">
        <f>(표1[[#This Row],[TB]]-표1[[#This Row],[H]]+표1[[#This Row],[BB]]+표1[[#This Row],[SB]]-표1[[#This Row],[CS]])/표1[[#This Row],[AB]]</f>
        <v>0.20763723150357996</v>
      </c>
      <c r="AI441">
        <f>(표1[[#This Row],[TB]]+표1[[#This Row],[BB]]+표1[[#This Row],[HBP]]+표1[[#This Row],[SB]]-표1[[#This Row],[CS]])/(표1[[#This Row],[AB]]-표1[[#This Row],[H]]+표1[[#This Row],[CS]]+표1[[#This Row],[GDP]])</f>
        <v>0.6470588235294118</v>
      </c>
      <c r="AJ44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54.083926380368098</v>
      </c>
      <c r="AK441">
        <f>표1[[#This Row],[RC]]/((표1[[#This Row],[AB]]-표1[[#This Row],[H]]+표1[[#This Row],[SAC]]+표1[[#This Row],[SF]]+표1[[#This Row],[CS]]+표1[[#This Row],[GDP]])/27)</f>
        <v>4.2326551080288075</v>
      </c>
      <c r="AL44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0.30985593220338986</v>
      </c>
      <c r="AM44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54.801999999999992</v>
      </c>
    </row>
    <row r="442" spans="1:39" x14ac:dyDescent="0.3">
      <c r="A442" t="str">
        <f>_xlfn.CONCAT(표1[[#This Row],[Year]],표1[[#This Row],[Player]])</f>
        <v>2012나지완</v>
      </c>
      <c r="B442">
        <v>2012</v>
      </c>
      <c r="C442">
        <v>24</v>
      </c>
      <c r="D442" t="s">
        <v>120</v>
      </c>
      <c r="E442" t="s">
        <v>13</v>
      </c>
      <c r="F442">
        <v>0.27400000000000002</v>
      </c>
      <c r="G442">
        <v>124</v>
      </c>
      <c r="H442">
        <v>480</v>
      </c>
      <c r="I442">
        <v>398</v>
      </c>
      <c r="J442">
        <v>40</v>
      </c>
      <c r="K442">
        <v>109</v>
      </c>
      <c r="L442">
        <f>표1[[#This Row],[H]]-표1[[#This Row],[2B]]-표1[[#This Row],[3B]]-표1[[#This Row],[HR]]</f>
        <v>80</v>
      </c>
      <c r="M442">
        <v>17</v>
      </c>
      <c r="N442">
        <v>1</v>
      </c>
      <c r="O442">
        <v>11</v>
      </c>
      <c r="P442">
        <v>161</v>
      </c>
      <c r="Q442">
        <v>56</v>
      </c>
      <c r="R442">
        <v>8</v>
      </c>
      <c r="S442">
        <v>5</v>
      </c>
      <c r="T442">
        <v>56</v>
      </c>
      <c r="U442">
        <v>4</v>
      </c>
      <c r="V442">
        <v>7</v>
      </c>
      <c r="W442">
        <v>3</v>
      </c>
      <c r="X442">
        <v>13</v>
      </c>
      <c r="Y442">
        <v>93</v>
      </c>
      <c r="Z442">
        <v>9</v>
      </c>
      <c r="AA442">
        <v>0.40500000000000003</v>
      </c>
      <c r="AB442">
        <v>0.377</v>
      </c>
      <c r="AC442">
        <v>0.78200000000000003</v>
      </c>
      <c r="AD442">
        <v>29</v>
      </c>
      <c r="AE442">
        <v>0.26400000000000001</v>
      </c>
      <c r="AF442">
        <v>0.125</v>
      </c>
      <c r="AG442">
        <f>(표1[[#This Row],[TB]]-표1[[#This Row],[H]])/표1[[#This Row],[AB]]</f>
        <v>0.1306532663316583</v>
      </c>
      <c r="AH442">
        <f>(표1[[#This Row],[TB]]-표1[[#This Row],[H]]+표1[[#This Row],[BB]]+표1[[#This Row],[SB]]-표1[[#This Row],[CS]])/표1[[#This Row],[AB]]</f>
        <v>0.28140703517587939</v>
      </c>
      <c r="AI442">
        <f>(표1[[#This Row],[TB]]+표1[[#This Row],[BB]]+표1[[#This Row],[HBP]]+표1[[#This Row],[SB]]-표1[[#This Row],[CS]])/(표1[[#This Row],[AB]]-표1[[#This Row],[H]]+표1[[#This Row],[CS]]+표1[[#This Row],[GDP]])</f>
        <v>0.77740863787375414</v>
      </c>
      <c r="AJ44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65.120416666666671</v>
      </c>
      <c r="AK442">
        <f>표1[[#This Row],[RC]]/((표1[[#This Row],[AB]]-표1[[#This Row],[H]]+표1[[#This Row],[SAC]]+표1[[#This Row],[SF]]+표1[[#This Row],[CS]]+표1[[#This Row],[GDP]])/27)</f>
        <v>5.5995262738853508</v>
      </c>
      <c r="AL44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0.34538034188034183</v>
      </c>
      <c r="AM44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64.606000000000009</v>
      </c>
    </row>
    <row r="443" spans="1:39" x14ac:dyDescent="0.3">
      <c r="A443" t="str">
        <f>_xlfn.CONCAT(표1[[#This Row],[Year]],표1[[#This Row],[Player]])</f>
        <v>2012강민호</v>
      </c>
      <c r="B443">
        <v>2012</v>
      </c>
      <c r="C443">
        <v>25</v>
      </c>
      <c r="D443" t="s">
        <v>83</v>
      </c>
      <c r="E443" t="s">
        <v>17</v>
      </c>
      <c r="F443">
        <v>0.27300000000000002</v>
      </c>
      <c r="G443">
        <v>119</v>
      </c>
      <c r="H443">
        <v>454</v>
      </c>
      <c r="I443">
        <v>400</v>
      </c>
      <c r="J443">
        <v>41</v>
      </c>
      <c r="K443">
        <v>109</v>
      </c>
      <c r="L443">
        <f>표1[[#This Row],[H]]-표1[[#This Row],[2B]]-표1[[#This Row],[3B]]-표1[[#This Row],[HR]]</f>
        <v>69</v>
      </c>
      <c r="M443">
        <v>21</v>
      </c>
      <c r="N443">
        <v>0</v>
      </c>
      <c r="O443">
        <v>19</v>
      </c>
      <c r="P443">
        <v>187</v>
      </c>
      <c r="Q443">
        <v>66</v>
      </c>
      <c r="R443">
        <v>0</v>
      </c>
      <c r="S443">
        <v>2</v>
      </c>
      <c r="T443">
        <v>44</v>
      </c>
      <c r="U443">
        <v>2</v>
      </c>
      <c r="V443">
        <v>0</v>
      </c>
      <c r="W443">
        <v>1</v>
      </c>
      <c r="X443">
        <v>8</v>
      </c>
      <c r="Y443">
        <v>97</v>
      </c>
      <c r="Z443">
        <v>9</v>
      </c>
      <c r="AA443">
        <v>0.46800000000000003</v>
      </c>
      <c r="AB443">
        <v>0.35499999999999998</v>
      </c>
      <c r="AC443">
        <v>0.82299999999999995</v>
      </c>
      <c r="AD443">
        <v>27</v>
      </c>
      <c r="AE443">
        <v>0.26500000000000001</v>
      </c>
      <c r="AF443">
        <v>0.25</v>
      </c>
      <c r="AG443">
        <f>(표1[[#This Row],[TB]]-표1[[#This Row],[H]])/표1[[#This Row],[AB]]</f>
        <v>0.19500000000000001</v>
      </c>
      <c r="AH443">
        <f>(표1[[#This Row],[TB]]-표1[[#This Row],[H]]+표1[[#This Row],[BB]]+표1[[#This Row],[SB]]-표1[[#This Row],[CS]])/표1[[#This Row],[AB]]</f>
        <v>0.30249999999999999</v>
      </c>
      <c r="AI443">
        <f>(표1[[#This Row],[TB]]+표1[[#This Row],[BB]]+표1[[#This Row],[HBP]]+표1[[#This Row],[SB]]-표1[[#This Row],[CS]])/(표1[[#This Row],[AB]]-표1[[#This Row],[H]]+표1[[#This Row],[CS]]+표1[[#This Row],[GDP]])</f>
        <v>0.79069767441860461</v>
      </c>
      <c r="AJ44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66.865726872246697</v>
      </c>
      <c r="AK443">
        <f>표1[[#This Row],[RC]]/((표1[[#This Row],[AB]]-표1[[#This Row],[H]]+표1[[#This Row],[SAC]]+표1[[#This Row],[SF]]+표1[[#This Row],[CS]]+표1[[#This Row],[GDP]])/27)</f>
        <v>5.9583320975269336</v>
      </c>
      <c r="AL44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0.3568429203539823</v>
      </c>
      <c r="AM44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64.603999999999985</v>
      </c>
    </row>
    <row r="444" spans="1:39" x14ac:dyDescent="0.3">
      <c r="A444" t="str">
        <f>_xlfn.CONCAT(표1[[#This Row],[Year]],표1[[#This Row],[Player]])</f>
        <v>2012황재균</v>
      </c>
      <c r="B444">
        <v>2012</v>
      </c>
      <c r="C444">
        <v>26</v>
      </c>
      <c r="D444" t="s">
        <v>118</v>
      </c>
      <c r="E444" t="s">
        <v>17</v>
      </c>
      <c r="F444">
        <v>0.27200000000000002</v>
      </c>
      <c r="G444">
        <v>133</v>
      </c>
      <c r="H444">
        <v>504</v>
      </c>
      <c r="I444">
        <v>448</v>
      </c>
      <c r="J444">
        <v>42</v>
      </c>
      <c r="K444">
        <v>122</v>
      </c>
      <c r="L444">
        <f>표1[[#This Row],[H]]-표1[[#This Row],[2B]]-표1[[#This Row],[3B]]-표1[[#This Row],[HR]]</f>
        <v>98</v>
      </c>
      <c r="M444">
        <v>19</v>
      </c>
      <c r="N444">
        <v>1</v>
      </c>
      <c r="O444">
        <v>4</v>
      </c>
      <c r="P444">
        <v>155</v>
      </c>
      <c r="Q444">
        <v>51</v>
      </c>
      <c r="R444">
        <v>11</v>
      </c>
      <c r="S444">
        <v>2</v>
      </c>
      <c r="T444">
        <v>38</v>
      </c>
      <c r="U444">
        <v>3</v>
      </c>
      <c r="V444">
        <v>26</v>
      </c>
      <c r="W444">
        <v>8</v>
      </c>
      <c r="X444">
        <v>5</v>
      </c>
      <c r="Y444">
        <v>81</v>
      </c>
      <c r="Z444">
        <v>10</v>
      </c>
      <c r="AA444">
        <v>0.34599999999999997</v>
      </c>
      <c r="AB444">
        <v>0.33500000000000002</v>
      </c>
      <c r="AC444">
        <v>0.68100000000000005</v>
      </c>
      <c r="AD444">
        <v>29</v>
      </c>
      <c r="AE444">
        <v>0.28000000000000003</v>
      </c>
      <c r="AF444">
        <v>0.5</v>
      </c>
      <c r="AG444">
        <f>(표1[[#This Row],[TB]]-표1[[#This Row],[H]])/표1[[#This Row],[AB]]</f>
        <v>7.3660714285714288E-2</v>
      </c>
      <c r="AH444">
        <f>(표1[[#This Row],[TB]]-표1[[#This Row],[H]]+표1[[#This Row],[BB]]+표1[[#This Row],[SB]]-표1[[#This Row],[CS]])/표1[[#This Row],[AB]]</f>
        <v>0.19866071428571427</v>
      </c>
      <c r="AI444">
        <f>(표1[[#This Row],[TB]]+표1[[#This Row],[BB]]+표1[[#This Row],[HBP]]+표1[[#This Row],[SB]]-표1[[#This Row],[CS]])/(표1[[#This Row],[AB]]-표1[[#This Row],[H]]+표1[[#This Row],[CS]]+표1[[#This Row],[GDP]])</f>
        <v>0.62790697674418605</v>
      </c>
      <c r="AJ44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54.156666666666673</v>
      </c>
      <c r="AK444">
        <f>표1[[#This Row],[RC]]/((표1[[#This Row],[AB]]-표1[[#This Row],[H]]+표1[[#This Row],[SAC]]+표1[[#This Row],[SF]]+표1[[#This Row],[CS]]+표1[[#This Row],[GDP]])/27)</f>
        <v>4.0958823529411772</v>
      </c>
      <c r="AL44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0.30231632653061224</v>
      </c>
      <c r="AM44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53.442000000000007</v>
      </c>
    </row>
    <row r="445" spans="1:39" x14ac:dyDescent="0.3">
      <c r="A445" t="str">
        <f>_xlfn.CONCAT(표1[[#This Row],[Year]],표1[[#This Row],[Player]])</f>
        <v>2012김강민</v>
      </c>
      <c r="B445">
        <v>2012</v>
      </c>
      <c r="C445">
        <v>27</v>
      </c>
      <c r="D445" t="s">
        <v>123</v>
      </c>
      <c r="E445" t="s">
        <v>8</v>
      </c>
      <c r="F445">
        <v>0.27200000000000002</v>
      </c>
      <c r="G445">
        <v>123</v>
      </c>
      <c r="H445">
        <v>474</v>
      </c>
      <c r="I445">
        <v>427</v>
      </c>
      <c r="J445">
        <v>49</v>
      </c>
      <c r="K445">
        <v>116</v>
      </c>
      <c r="L445">
        <f>표1[[#This Row],[H]]-표1[[#This Row],[2B]]-표1[[#This Row],[3B]]-표1[[#This Row],[HR]]</f>
        <v>91</v>
      </c>
      <c r="M445">
        <v>20</v>
      </c>
      <c r="N445">
        <v>0</v>
      </c>
      <c r="O445">
        <v>5</v>
      </c>
      <c r="P445">
        <v>151</v>
      </c>
      <c r="Q445">
        <v>31</v>
      </c>
      <c r="R445">
        <v>11</v>
      </c>
      <c r="S445">
        <v>3</v>
      </c>
      <c r="T445">
        <v>29</v>
      </c>
      <c r="U445">
        <v>0</v>
      </c>
      <c r="V445">
        <v>11</v>
      </c>
      <c r="W445">
        <v>10</v>
      </c>
      <c r="X445">
        <v>4</v>
      </c>
      <c r="Y445">
        <v>72</v>
      </c>
      <c r="Z445">
        <v>7</v>
      </c>
      <c r="AA445">
        <v>0.35399999999999998</v>
      </c>
      <c r="AB445">
        <v>0.32200000000000001</v>
      </c>
      <c r="AC445">
        <v>0.67600000000000005</v>
      </c>
      <c r="AD445">
        <v>32</v>
      </c>
      <c r="AE445">
        <v>0.24299999999999999</v>
      </c>
      <c r="AF445">
        <v>0.4</v>
      </c>
      <c r="AG445">
        <f>(표1[[#This Row],[TB]]-표1[[#This Row],[H]])/표1[[#This Row],[AB]]</f>
        <v>8.1967213114754092E-2</v>
      </c>
      <c r="AH445">
        <f>(표1[[#This Row],[TB]]-표1[[#This Row],[H]]+표1[[#This Row],[BB]]+표1[[#This Row],[SB]]-표1[[#This Row],[CS]])/표1[[#This Row],[AB]]</f>
        <v>0.1522248243559719</v>
      </c>
      <c r="AI445">
        <f>(표1[[#This Row],[TB]]+표1[[#This Row],[BB]]+표1[[#This Row],[HBP]]+표1[[#This Row],[SB]]-표1[[#This Row],[CS]])/(표1[[#This Row],[AB]]-표1[[#This Row],[H]]+표1[[#This Row],[CS]]+표1[[#This Row],[GDP]])</f>
        <v>0.56402439024390238</v>
      </c>
      <c r="AJ44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48.060253164556961</v>
      </c>
      <c r="AK445">
        <f>표1[[#This Row],[RC]]/((표1[[#This Row],[AB]]-표1[[#This Row],[H]]+표1[[#This Row],[SAC]]+표1[[#This Row],[SF]]+표1[[#This Row],[CS]]+표1[[#This Row],[GDP]])/27)</f>
        <v>3.7942305129913394</v>
      </c>
      <c r="AL44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0.2997861771058315</v>
      </c>
      <c r="AM44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47.493999999999986</v>
      </c>
    </row>
    <row r="446" spans="1:39" x14ac:dyDescent="0.3">
      <c r="A446" t="str">
        <f>_xlfn.CONCAT(표1[[#This Row],[Year]],표1[[#This Row],[Player]])</f>
        <v>2012최형우</v>
      </c>
      <c r="B446">
        <v>2012</v>
      </c>
      <c r="C446">
        <v>28</v>
      </c>
      <c r="D446" t="s">
        <v>105</v>
      </c>
      <c r="E446" t="s">
        <v>6</v>
      </c>
      <c r="F446">
        <v>0.27100000000000002</v>
      </c>
      <c r="G446">
        <v>125</v>
      </c>
      <c r="H446">
        <v>531</v>
      </c>
      <c r="I446">
        <v>461</v>
      </c>
      <c r="J446">
        <v>51</v>
      </c>
      <c r="K446">
        <v>125</v>
      </c>
      <c r="L446">
        <f>표1[[#This Row],[H]]-표1[[#This Row],[2B]]-표1[[#This Row],[3B]]-표1[[#This Row],[HR]]</f>
        <v>83</v>
      </c>
      <c r="M446">
        <v>27</v>
      </c>
      <c r="N446">
        <v>1</v>
      </c>
      <c r="O446">
        <v>14</v>
      </c>
      <c r="P446">
        <v>196</v>
      </c>
      <c r="Q446">
        <v>77</v>
      </c>
      <c r="R446">
        <v>0</v>
      </c>
      <c r="S446">
        <v>10</v>
      </c>
      <c r="T446">
        <v>55</v>
      </c>
      <c r="U446">
        <v>3</v>
      </c>
      <c r="V446">
        <v>2</v>
      </c>
      <c r="W446">
        <v>1</v>
      </c>
      <c r="X446">
        <v>5</v>
      </c>
      <c r="Y446">
        <v>76</v>
      </c>
      <c r="Z446">
        <v>20</v>
      </c>
      <c r="AA446">
        <v>0.42499999999999999</v>
      </c>
      <c r="AB446">
        <v>0.34799999999999998</v>
      </c>
      <c r="AC446">
        <v>0.77300000000000002</v>
      </c>
      <c r="AD446">
        <v>33</v>
      </c>
      <c r="AE446">
        <v>0.26500000000000001</v>
      </c>
      <c r="AF446">
        <v>0</v>
      </c>
      <c r="AG446">
        <f>(표1[[#This Row],[TB]]-표1[[#This Row],[H]])/표1[[#This Row],[AB]]</f>
        <v>0.15401301518438179</v>
      </c>
      <c r="AH446">
        <f>(표1[[#This Row],[TB]]-표1[[#This Row],[H]]+표1[[#This Row],[BB]]+표1[[#This Row],[SB]]-표1[[#This Row],[CS]])/표1[[#This Row],[AB]]</f>
        <v>0.27548806941431669</v>
      </c>
      <c r="AI446">
        <f>(표1[[#This Row],[TB]]+표1[[#This Row],[BB]]+표1[[#This Row],[HBP]]+표1[[#This Row],[SB]]-표1[[#This Row],[CS]])/(표1[[#This Row],[AB]]-표1[[#This Row],[H]]+표1[[#This Row],[CS]]+표1[[#This Row],[GDP]])</f>
        <v>0.71988795518207283</v>
      </c>
      <c r="AJ44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67.039246704331461</v>
      </c>
      <c r="AK446">
        <f>표1[[#This Row],[RC]]/((표1[[#This Row],[AB]]-표1[[#This Row],[H]]+표1[[#This Row],[SAC]]+표1[[#This Row],[SF]]+표1[[#This Row],[CS]]+표1[[#This Row],[GDP]])/27)</f>
        <v>4.9320426730707068</v>
      </c>
      <c r="AL44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0.33571590909090904</v>
      </c>
      <c r="AM44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67.762000000000015</v>
      </c>
    </row>
    <row r="447" spans="1:39" x14ac:dyDescent="0.3">
      <c r="A447" t="str">
        <f>_xlfn.CONCAT(표1[[#This Row],[Year]],표1[[#This Row],[Player]])</f>
        <v>2012서건창</v>
      </c>
      <c r="B447">
        <v>2012</v>
      </c>
      <c r="C447">
        <v>29</v>
      </c>
      <c r="D447" t="s">
        <v>143</v>
      </c>
      <c r="E447" t="s">
        <v>125</v>
      </c>
      <c r="F447">
        <v>0.26600000000000001</v>
      </c>
      <c r="G447">
        <v>127</v>
      </c>
      <c r="H447">
        <v>501</v>
      </c>
      <c r="I447">
        <v>433</v>
      </c>
      <c r="J447">
        <v>70</v>
      </c>
      <c r="K447">
        <v>115</v>
      </c>
      <c r="L447">
        <f>표1[[#This Row],[H]]-표1[[#This Row],[2B]]-표1[[#This Row],[3B]]-표1[[#This Row],[HR]]</f>
        <v>83</v>
      </c>
      <c r="M447">
        <v>21</v>
      </c>
      <c r="N447">
        <v>10</v>
      </c>
      <c r="O447">
        <v>1</v>
      </c>
      <c r="P447">
        <v>159</v>
      </c>
      <c r="Q447">
        <v>40</v>
      </c>
      <c r="R447">
        <v>13</v>
      </c>
      <c r="S447">
        <v>3</v>
      </c>
      <c r="T447">
        <v>45</v>
      </c>
      <c r="U447">
        <v>0</v>
      </c>
      <c r="V447">
        <v>39</v>
      </c>
      <c r="W447">
        <v>12</v>
      </c>
      <c r="X447">
        <v>7</v>
      </c>
      <c r="Y447">
        <v>43</v>
      </c>
      <c r="Z447">
        <v>4</v>
      </c>
      <c r="AA447">
        <v>0.36699999999999999</v>
      </c>
      <c r="AB447">
        <v>0.34200000000000003</v>
      </c>
      <c r="AC447">
        <v>0.70899999999999996</v>
      </c>
      <c r="AD447">
        <v>30</v>
      </c>
      <c r="AE447">
        <v>0.27700000000000002</v>
      </c>
      <c r="AF447">
        <v>0</v>
      </c>
      <c r="AG447">
        <f>(표1[[#This Row],[TB]]-표1[[#This Row],[H]])/표1[[#This Row],[AB]]</f>
        <v>0.10161662817551963</v>
      </c>
      <c r="AH447">
        <f>(표1[[#This Row],[TB]]-표1[[#This Row],[H]]+표1[[#This Row],[BB]]+표1[[#This Row],[SB]]-표1[[#This Row],[CS]])/표1[[#This Row],[AB]]</f>
        <v>0.26789838337182448</v>
      </c>
      <c r="AI447">
        <f>(표1[[#This Row],[TB]]+표1[[#This Row],[BB]]+표1[[#This Row],[HBP]]+표1[[#This Row],[SB]]-표1[[#This Row],[CS]])/(표1[[#This Row],[AB]]-표1[[#This Row],[H]]+표1[[#This Row],[CS]]+표1[[#This Row],[GDP]])</f>
        <v>0.71257485029940115</v>
      </c>
      <c r="AJ44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60.617005988023948</v>
      </c>
      <c r="AK447">
        <f>표1[[#This Row],[RC]]/((표1[[#This Row],[AB]]-표1[[#This Row],[H]]+표1[[#This Row],[SAC]]+표1[[#This Row],[SF]]+표1[[#This Row],[CS]]+표1[[#This Row],[GDP]])/27)</f>
        <v>4.6761690333618473</v>
      </c>
      <c r="AL44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0.31538114754098362</v>
      </c>
      <c r="AM44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60.505999999999986</v>
      </c>
    </row>
    <row r="448" spans="1:39" x14ac:dyDescent="0.3">
      <c r="A448" t="str">
        <f>_xlfn.CONCAT(표1[[#This Row],[Year]],표1[[#This Row],[Player]])</f>
        <v>2012정근우</v>
      </c>
      <c r="B448">
        <v>2012</v>
      </c>
      <c r="C448">
        <v>30</v>
      </c>
      <c r="D448" t="s">
        <v>79</v>
      </c>
      <c r="E448" t="s">
        <v>8</v>
      </c>
      <c r="F448">
        <v>0.26600000000000001</v>
      </c>
      <c r="G448">
        <v>127</v>
      </c>
      <c r="H448">
        <v>534</v>
      </c>
      <c r="I448">
        <v>467</v>
      </c>
      <c r="J448">
        <v>53</v>
      </c>
      <c r="K448">
        <v>124</v>
      </c>
      <c r="L448">
        <f>표1[[#This Row],[H]]-표1[[#This Row],[2B]]-표1[[#This Row],[3B]]-표1[[#This Row],[HR]]</f>
        <v>99</v>
      </c>
      <c r="M448">
        <v>13</v>
      </c>
      <c r="N448">
        <v>4</v>
      </c>
      <c r="O448">
        <v>8</v>
      </c>
      <c r="P448">
        <v>169</v>
      </c>
      <c r="Q448">
        <v>46</v>
      </c>
      <c r="R448">
        <v>12</v>
      </c>
      <c r="S448">
        <v>2</v>
      </c>
      <c r="T448">
        <v>47</v>
      </c>
      <c r="U448">
        <v>3</v>
      </c>
      <c r="V448">
        <v>22</v>
      </c>
      <c r="W448">
        <v>12</v>
      </c>
      <c r="X448">
        <v>6</v>
      </c>
      <c r="Y448">
        <v>33</v>
      </c>
      <c r="Z448">
        <v>10</v>
      </c>
      <c r="AA448">
        <v>0.36199999999999999</v>
      </c>
      <c r="AB448">
        <v>0.33900000000000002</v>
      </c>
      <c r="AC448">
        <v>0.70099999999999996</v>
      </c>
      <c r="AD448">
        <v>31</v>
      </c>
      <c r="AE448">
        <v>0.29499999999999998</v>
      </c>
      <c r="AF448">
        <v>0.4</v>
      </c>
      <c r="AG448">
        <f>(표1[[#This Row],[TB]]-표1[[#This Row],[H]])/표1[[#This Row],[AB]]</f>
        <v>9.6359743040685231E-2</v>
      </c>
      <c r="AH448">
        <f>(표1[[#This Row],[TB]]-표1[[#This Row],[H]]+표1[[#This Row],[BB]]+표1[[#This Row],[SB]]-표1[[#This Row],[CS]])/표1[[#This Row],[AB]]</f>
        <v>0.21841541755888652</v>
      </c>
      <c r="AI448">
        <f>(표1[[#This Row],[TB]]+표1[[#This Row],[BB]]+표1[[#This Row],[HBP]]+표1[[#This Row],[SB]]-표1[[#This Row],[CS]])/(표1[[#This Row],[AB]]-표1[[#This Row],[H]]+표1[[#This Row],[CS]]+표1[[#This Row],[GDP]])</f>
        <v>0.63561643835616444</v>
      </c>
      <c r="AJ44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58.261423220973782</v>
      </c>
      <c r="AK448">
        <f>표1[[#This Row],[RC]]/((표1[[#This Row],[AB]]-표1[[#This Row],[H]]+표1[[#This Row],[SAC]]+표1[[#This Row],[SF]]+표1[[#This Row],[CS]]+표1[[#This Row],[GDP]])/27)</f>
        <v>4.1505499392250451</v>
      </c>
      <c r="AL44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0.31103853564547213</v>
      </c>
      <c r="AM44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58.795999999999985</v>
      </c>
    </row>
    <row r="449" spans="1:39" x14ac:dyDescent="0.3">
      <c r="A449" t="str">
        <f>_xlfn.CONCAT(표1[[#This Row],[Year]],표1[[#This Row],[Player]])</f>
        <v>2012장성호</v>
      </c>
      <c r="B449">
        <v>2012</v>
      </c>
      <c r="C449">
        <v>31</v>
      </c>
      <c r="D449" t="s">
        <v>12</v>
      </c>
      <c r="E449" t="s">
        <v>11</v>
      </c>
      <c r="F449">
        <v>0.26300000000000001</v>
      </c>
      <c r="G449">
        <v>130</v>
      </c>
      <c r="H449">
        <v>501</v>
      </c>
      <c r="I449">
        <v>429</v>
      </c>
      <c r="J449">
        <v>57</v>
      </c>
      <c r="K449">
        <v>113</v>
      </c>
      <c r="L449">
        <f>표1[[#This Row],[H]]-표1[[#This Row],[2B]]-표1[[#This Row],[3B]]-표1[[#This Row],[HR]]</f>
        <v>76</v>
      </c>
      <c r="M449">
        <v>28</v>
      </c>
      <c r="N449">
        <v>0</v>
      </c>
      <c r="O449">
        <v>9</v>
      </c>
      <c r="P449">
        <v>168</v>
      </c>
      <c r="Q449">
        <v>52</v>
      </c>
      <c r="R449">
        <v>1</v>
      </c>
      <c r="S449">
        <v>2</v>
      </c>
      <c r="T449">
        <v>67</v>
      </c>
      <c r="U449">
        <v>1</v>
      </c>
      <c r="V449">
        <v>2</v>
      </c>
      <c r="W449">
        <v>3</v>
      </c>
      <c r="X449">
        <v>2</v>
      </c>
      <c r="Y449">
        <v>63</v>
      </c>
      <c r="Z449">
        <v>11</v>
      </c>
      <c r="AA449">
        <v>0.39200000000000002</v>
      </c>
      <c r="AB449">
        <v>0.36399999999999999</v>
      </c>
      <c r="AC449">
        <v>0.75600000000000001</v>
      </c>
      <c r="AD449">
        <v>29</v>
      </c>
      <c r="AE449">
        <v>0.24</v>
      </c>
      <c r="AF449">
        <v>0.27300000000000002</v>
      </c>
      <c r="AG449">
        <f>(표1[[#This Row],[TB]]-표1[[#This Row],[H]])/표1[[#This Row],[AB]]</f>
        <v>0.12820512820512819</v>
      </c>
      <c r="AH449">
        <f>(표1[[#This Row],[TB]]-표1[[#This Row],[H]]+표1[[#This Row],[BB]]+표1[[#This Row],[SB]]-표1[[#This Row],[CS]])/표1[[#This Row],[AB]]</f>
        <v>0.28205128205128205</v>
      </c>
      <c r="AI449">
        <f>(표1[[#This Row],[TB]]+표1[[#This Row],[BB]]+표1[[#This Row],[HBP]]+표1[[#This Row],[SB]]-표1[[#This Row],[CS]])/(표1[[#This Row],[AB]]-표1[[#This Row],[H]]+표1[[#This Row],[CS]]+표1[[#This Row],[GDP]])</f>
        <v>0.7151515151515152</v>
      </c>
      <c r="AJ44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63.135808383233538</v>
      </c>
      <c r="AK449">
        <f>표1[[#This Row],[RC]]/((표1[[#This Row],[AB]]-표1[[#This Row],[H]]+표1[[#This Row],[SAC]]+표1[[#This Row],[SF]]+표1[[#This Row],[CS]]+표1[[#This Row],[GDP]])/27)</f>
        <v>5.1191195986405571</v>
      </c>
      <c r="AL44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0.33657715430861723</v>
      </c>
      <c r="AM44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61.655999999999999</v>
      </c>
    </row>
    <row r="450" spans="1:39" x14ac:dyDescent="0.3">
      <c r="A450" t="str">
        <f>_xlfn.CONCAT(표1[[#This Row],[Year]],표1[[#This Row],[Player]])</f>
        <v>2012오선진</v>
      </c>
      <c r="B450">
        <v>2012</v>
      </c>
      <c r="C450">
        <v>32</v>
      </c>
      <c r="D450" t="s">
        <v>144</v>
      </c>
      <c r="E450" t="s">
        <v>11</v>
      </c>
      <c r="F450">
        <v>0.26300000000000001</v>
      </c>
      <c r="G450">
        <v>110</v>
      </c>
      <c r="H450">
        <v>446</v>
      </c>
      <c r="I450">
        <v>399</v>
      </c>
      <c r="J450">
        <v>33</v>
      </c>
      <c r="K450">
        <v>105</v>
      </c>
      <c r="L450">
        <f>표1[[#This Row],[H]]-표1[[#This Row],[2B]]-표1[[#This Row],[3B]]-표1[[#This Row],[HR]]</f>
        <v>81</v>
      </c>
      <c r="M450">
        <v>18</v>
      </c>
      <c r="N450">
        <v>3</v>
      </c>
      <c r="O450">
        <v>3</v>
      </c>
      <c r="P450">
        <v>138</v>
      </c>
      <c r="Q450">
        <v>41</v>
      </c>
      <c r="R450">
        <v>13</v>
      </c>
      <c r="S450">
        <v>2</v>
      </c>
      <c r="T450">
        <v>25</v>
      </c>
      <c r="U450">
        <v>0</v>
      </c>
      <c r="V450">
        <v>14</v>
      </c>
      <c r="W450">
        <v>9</v>
      </c>
      <c r="X450">
        <v>7</v>
      </c>
      <c r="Y450">
        <v>65</v>
      </c>
      <c r="Z450">
        <v>7</v>
      </c>
      <c r="AA450">
        <v>0.34599999999999997</v>
      </c>
      <c r="AB450">
        <v>0.316</v>
      </c>
      <c r="AC450">
        <v>0.66200000000000003</v>
      </c>
      <c r="AD450">
        <v>31</v>
      </c>
      <c r="AE450">
        <v>0.3</v>
      </c>
      <c r="AF450">
        <v>0</v>
      </c>
      <c r="AG450">
        <f>(표1[[#This Row],[TB]]-표1[[#This Row],[H]])/표1[[#This Row],[AB]]</f>
        <v>8.2706766917293228E-2</v>
      </c>
      <c r="AH450">
        <f>(표1[[#This Row],[TB]]-표1[[#This Row],[H]]+표1[[#This Row],[BB]]+표1[[#This Row],[SB]]-표1[[#This Row],[CS]])/표1[[#This Row],[AB]]</f>
        <v>0.15789473684210525</v>
      </c>
      <c r="AI450">
        <f>(표1[[#This Row],[TB]]+표1[[#This Row],[BB]]+표1[[#This Row],[HBP]]+표1[[#This Row],[SB]]-표1[[#This Row],[CS]])/(표1[[#This Row],[AB]]-표1[[#This Row],[H]]+표1[[#This Row],[CS]]+표1[[#This Row],[GDP]])</f>
        <v>0.56451612903225812</v>
      </c>
      <c r="AJ45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43.787892376681619</v>
      </c>
      <c r="AK450">
        <f>표1[[#This Row],[RC]]/((표1[[#This Row],[AB]]-표1[[#This Row],[H]]+표1[[#This Row],[SAC]]+표1[[#This Row],[SF]]+표1[[#This Row],[CS]]+표1[[#This Row],[GDP]])/27)</f>
        <v>3.6377633666781652</v>
      </c>
      <c r="AL45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0.29448498845265592</v>
      </c>
      <c r="AM45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43.11</v>
      </c>
    </row>
    <row r="451" spans="1:39" x14ac:dyDescent="0.3">
      <c r="A451" t="str">
        <f>_xlfn.CONCAT(표1[[#This Row],[Year]],표1[[#This Row],[Player]])</f>
        <v>2012박종윤</v>
      </c>
      <c r="B451">
        <v>2012</v>
      </c>
      <c r="C451">
        <v>33</v>
      </c>
      <c r="D451" t="s">
        <v>145</v>
      </c>
      <c r="E451" t="s">
        <v>17</v>
      </c>
      <c r="F451">
        <v>0.25700000000000001</v>
      </c>
      <c r="G451">
        <v>121</v>
      </c>
      <c r="H451">
        <v>459</v>
      </c>
      <c r="I451">
        <v>416</v>
      </c>
      <c r="J451">
        <v>41</v>
      </c>
      <c r="K451">
        <v>107</v>
      </c>
      <c r="L451">
        <f>표1[[#This Row],[H]]-표1[[#This Row],[2B]]-표1[[#This Row],[3B]]-표1[[#This Row],[HR]]</f>
        <v>75</v>
      </c>
      <c r="M451">
        <v>19</v>
      </c>
      <c r="N451">
        <v>4</v>
      </c>
      <c r="O451">
        <v>9</v>
      </c>
      <c r="P451">
        <v>161</v>
      </c>
      <c r="Q451">
        <v>47</v>
      </c>
      <c r="R451">
        <v>15</v>
      </c>
      <c r="S451">
        <v>1</v>
      </c>
      <c r="T451">
        <v>22</v>
      </c>
      <c r="U451">
        <v>5</v>
      </c>
      <c r="V451">
        <v>5</v>
      </c>
      <c r="W451">
        <v>2</v>
      </c>
      <c r="X451">
        <v>5</v>
      </c>
      <c r="Y451">
        <v>64</v>
      </c>
      <c r="Z451">
        <v>10</v>
      </c>
      <c r="AA451">
        <v>0.38700000000000001</v>
      </c>
      <c r="AB451">
        <v>0.30199999999999999</v>
      </c>
      <c r="AC451">
        <v>0.68899999999999995</v>
      </c>
      <c r="AD451">
        <v>26</v>
      </c>
      <c r="AE451">
        <v>0.252</v>
      </c>
      <c r="AF451">
        <v>0.16700000000000001</v>
      </c>
      <c r="AG451">
        <f>(표1[[#This Row],[TB]]-표1[[#This Row],[H]])/표1[[#This Row],[AB]]</f>
        <v>0.12980769230769232</v>
      </c>
      <c r="AH451">
        <f>(표1[[#This Row],[TB]]-표1[[#This Row],[H]]+표1[[#This Row],[BB]]+표1[[#This Row],[SB]]-표1[[#This Row],[CS]])/표1[[#This Row],[AB]]</f>
        <v>0.18990384615384615</v>
      </c>
      <c r="AI451">
        <f>(표1[[#This Row],[TB]]+표1[[#This Row],[BB]]+표1[[#This Row],[HBP]]+표1[[#This Row],[SB]]-표1[[#This Row],[CS]])/(표1[[#This Row],[AB]]-표1[[#This Row],[H]]+표1[[#This Row],[CS]]+표1[[#This Row],[GDP]])</f>
        <v>0.59501557632398749</v>
      </c>
      <c r="AJ45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47.215860566448796</v>
      </c>
      <c r="AK451">
        <f>표1[[#This Row],[RC]]/((표1[[#This Row],[AB]]-표1[[#This Row],[H]]+표1[[#This Row],[SAC]]+표1[[#This Row],[SF]]+표1[[#This Row],[CS]]+표1[[#This Row],[GDP]])/27)</f>
        <v>3.7828731017629602</v>
      </c>
      <c r="AL45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0.29711617312072891</v>
      </c>
      <c r="AM45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46.238</v>
      </c>
    </row>
    <row r="452" spans="1:39" x14ac:dyDescent="0.3">
      <c r="A452" t="str">
        <f>_xlfn.CONCAT(표1[[#This Row],[Year]],표1[[#This Row],[Player]])</f>
        <v>2012박정권</v>
      </c>
      <c r="B452">
        <v>2012</v>
      </c>
      <c r="C452">
        <v>34</v>
      </c>
      <c r="D452" t="s">
        <v>119</v>
      </c>
      <c r="E452" t="s">
        <v>8</v>
      </c>
      <c r="F452">
        <v>0.255</v>
      </c>
      <c r="G452">
        <v>122</v>
      </c>
      <c r="H452">
        <v>472</v>
      </c>
      <c r="I452">
        <v>416</v>
      </c>
      <c r="J452">
        <v>61</v>
      </c>
      <c r="K452">
        <v>106</v>
      </c>
      <c r="L452">
        <f>표1[[#This Row],[H]]-표1[[#This Row],[2B]]-표1[[#This Row],[3B]]-표1[[#This Row],[HR]]</f>
        <v>75</v>
      </c>
      <c r="M452">
        <v>18</v>
      </c>
      <c r="N452">
        <v>1</v>
      </c>
      <c r="O452">
        <v>12</v>
      </c>
      <c r="P452">
        <v>162</v>
      </c>
      <c r="Q452">
        <v>59</v>
      </c>
      <c r="R452">
        <v>6</v>
      </c>
      <c r="S452">
        <v>3</v>
      </c>
      <c r="T452">
        <v>43</v>
      </c>
      <c r="U452">
        <v>2</v>
      </c>
      <c r="V452">
        <v>4</v>
      </c>
      <c r="W452">
        <v>6</v>
      </c>
      <c r="X452">
        <v>4</v>
      </c>
      <c r="Y452">
        <v>80</v>
      </c>
      <c r="Z452">
        <v>7</v>
      </c>
      <c r="AA452">
        <v>0.38900000000000001</v>
      </c>
      <c r="AB452">
        <v>0.32800000000000001</v>
      </c>
      <c r="AC452">
        <v>0.71699999999999997</v>
      </c>
      <c r="AD452">
        <v>28</v>
      </c>
      <c r="AE452">
        <v>0.252</v>
      </c>
      <c r="AF452">
        <v>0.5</v>
      </c>
      <c r="AG452">
        <f>(표1[[#This Row],[TB]]-표1[[#This Row],[H]])/표1[[#This Row],[AB]]</f>
        <v>0.13461538461538461</v>
      </c>
      <c r="AH452">
        <f>(표1[[#This Row],[TB]]-표1[[#This Row],[H]]+표1[[#This Row],[BB]]+표1[[#This Row],[SB]]-표1[[#This Row],[CS]])/표1[[#This Row],[AB]]</f>
        <v>0.23317307692307693</v>
      </c>
      <c r="AI452">
        <f>(표1[[#This Row],[TB]]+표1[[#This Row],[BB]]+표1[[#This Row],[HBP]]+표1[[#This Row],[SB]]-표1[[#This Row],[CS]])/(표1[[#This Row],[AB]]-표1[[#This Row],[H]]+표1[[#This Row],[CS]]+표1[[#This Row],[GDP]])</f>
        <v>0.64086687306501544</v>
      </c>
      <c r="AJ45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53.526271186440674</v>
      </c>
      <c r="AK452">
        <f>표1[[#This Row],[RC]]/((표1[[#This Row],[AB]]-표1[[#This Row],[H]]+표1[[#This Row],[SAC]]+표1[[#This Row],[SF]]+표1[[#This Row],[CS]]+표1[[#This Row],[GDP]])/27)</f>
        <v>4.3530401266081276</v>
      </c>
      <c r="AL45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0.31559051724137938</v>
      </c>
      <c r="AM45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53.599999999999987</v>
      </c>
    </row>
    <row r="453" spans="1:39" x14ac:dyDescent="0.3">
      <c r="A453" t="str">
        <f>_xlfn.CONCAT(표1[[#This Row],[Year]],표1[[#This Row],[Player]])</f>
        <v>2012전준우</v>
      </c>
      <c r="B453">
        <v>2012</v>
      </c>
      <c r="C453">
        <v>35</v>
      </c>
      <c r="D453" t="s">
        <v>136</v>
      </c>
      <c r="E453" t="s">
        <v>17</v>
      </c>
      <c r="F453">
        <v>0.253</v>
      </c>
      <c r="G453">
        <v>122</v>
      </c>
      <c r="H453">
        <v>520</v>
      </c>
      <c r="I453">
        <v>459</v>
      </c>
      <c r="J453">
        <v>63</v>
      </c>
      <c r="K453">
        <v>116</v>
      </c>
      <c r="L453">
        <f>표1[[#This Row],[H]]-표1[[#This Row],[2B]]-표1[[#This Row],[3B]]-표1[[#This Row],[HR]]</f>
        <v>83</v>
      </c>
      <c r="M453">
        <v>22</v>
      </c>
      <c r="N453">
        <v>4</v>
      </c>
      <c r="O453">
        <v>7</v>
      </c>
      <c r="P453">
        <v>167</v>
      </c>
      <c r="Q453">
        <v>38</v>
      </c>
      <c r="R453">
        <v>6</v>
      </c>
      <c r="S453">
        <v>3</v>
      </c>
      <c r="T453">
        <v>45</v>
      </c>
      <c r="U453">
        <v>0</v>
      </c>
      <c r="V453">
        <v>21</v>
      </c>
      <c r="W453">
        <v>8</v>
      </c>
      <c r="X453">
        <v>7</v>
      </c>
      <c r="Y453">
        <v>103</v>
      </c>
      <c r="Z453">
        <v>16</v>
      </c>
      <c r="AA453">
        <v>0.36399999999999999</v>
      </c>
      <c r="AB453">
        <v>0.32700000000000001</v>
      </c>
      <c r="AC453">
        <v>0.69099999999999995</v>
      </c>
      <c r="AD453">
        <v>26</v>
      </c>
      <c r="AE453">
        <v>0.24</v>
      </c>
      <c r="AF453">
        <v>0</v>
      </c>
      <c r="AG453">
        <f>(표1[[#This Row],[TB]]-표1[[#This Row],[H]])/표1[[#This Row],[AB]]</f>
        <v>0.1111111111111111</v>
      </c>
      <c r="AH453">
        <f>(표1[[#This Row],[TB]]-표1[[#This Row],[H]]+표1[[#This Row],[BB]]+표1[[#This Row],[SB]]-표1[[#This Row],[CS]])/표1[[#This Row],[AB]]</f>
        <v>0.23747276688453159</v>
      </c>
      <c r="AI453">
        <f>(표1[[#This Row],[TB]]+표1[[#This Row],[BB]]+표1[[#This Row],[HBP]]+표1[[#This Row],[SB]]-표1[[#This Row],[CS]])/(표1[[#This Row],[AB]]-표1[[#This Row],[H]]+표1[[#This Row],[CS]]+표1[[#This Row],[GDP]])</f>
        <v>0.63215258855585832</v>
      </c>
      <c r="AJ45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54.310153846153845</v>
      </c>
      <c r="AK453">
        <f>표1[[#This Row],[RC]]/((표1[[#This Row],[AB]]-표1[[#This Row],[H]]+표1[[#This Row],[SAC]]+표1[[#This Row],[SF]]+표1[[#This Row],[CS]]+표1[[#This Row],[GDP]])/27)</f>
        <v>3.8999312602291325</v>
      </c>
      <c r="AL45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0.30730155642023355</v>
      </c>
      <c r="AM45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54.215999999999994</v>
      </c>
    </row>
    <row r="454" spans="1:39" x14ac:dyDescent="0.3">
      <c r="A454" t="str">
        <f>_xlfn.CONCAT(표1[[#This Row],[Year]],표1[[#This Row],[Player]])</f>
        <v>2012오지환</v>
      </c>
      <c r="B454">
        <v>2012</v>
      </c>
      <c r="C454">
        <v>36</v>
      </c>
      <c r="D454" t="s">
        <v>135</v>
      </c>
      <c r="E454" t="s">
        <v>36</v>
      </c>
      <c r="F454">
        <v>0.249</v>
      </c>
      <c r="G454">
        <v>133</v>
      </c>
      <c r="H454">
        <v>540</v>
      </c>
      <c r="I454">
        <v>462</v>
      </c>
      <c r="J454">
        <v>66</v>
      </c>
      <c r="K454">
        <v>115</v>
      </c>
      <c r="L454">
        <f>표1[[#This Row],[H]]-표1[[#This Row],[2B]]-표1[[#This Row],[3B]]-표1[[#This Row],[HR]]</f>
        <v>79</v>
      </c>
      <c r="M454">
        <v>22</v>
      </c>
      <c r="N454">
        <v>2</v>
      </c>
      <c r="O454">
        <v>12</v>
      </c>
      <c r="P454">
        <v>177</v>
      </c>
      <c r="Q454">
        <v>53</v>
      </c>
      <c r="R454">
        <v>9</v>
      </c>
      <c r="S454">
        <v>8</v>
      </c>
      <c r="T454">
        <v>55</v>
      </c>
      <c r="U454">
        <v>4</v>
      </c>
      <c r="V454">
        <v>23</v>
      </c>
      <c r="W454">
        <v>14</v>
      </c>
      <c r="X454">
        <v>6</v>
      </c>
      <c r="Y454">
        <v>122</v>
      </c>
      <c r="Z454">
        <v>6</v>
      </c>
      <c r="AA454">
        <v>0.38300000000000001</v>
      </c>
      <c r="AB454">
        <v>0.33100000000000002</v>
      </c>
      <c r="AC454">
        <v>0.71399999999999997</v>
      </c>
      <c r="AD454">
        <v>29</v>
      </c>
      <c r="AE454">
        <v>0.19500000000000001</v>
      </c>
      <c r="AF454">
        <v>0</v>
      </c>
      <c r="AG454">
        <f>(표1[[#This Row],[TB]]-표1[[#This Row],[H]])/표1[[#This Row],[AB]]</f>
        <v>0.13419913419913421</v>
      </c>
      <c r="AH454">
        <f>(표1[[#This Row],[TB]]-표1[[#This Row],[H]]+표1[[#This Row],[BB]]+표1[[#This Row],[SB]]-표1[[#This Row],[CS]])/표1[[#This Row],[AB]]</f>
        <v>0.27272727272727271</v>
      </c>
      <c r="AI454">
        <f>(표1[[#This Row],[TB]]+표1[[#This Row],[BB]]+표1[[#This Row],[HBP]]+표1[[#This Row],[SB]]-표1[[#This Row],[CS]])/(표1[[#This Row],[AB]]-표1[[#This Row],[H]]+표1[[#This Row],[CS]]+표1[[#This Row],[GDP]])</f>
        <v>0.67302452316076289</v>
      </c>
      <c r="AJ45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61.423555555555559</v>
      </c>
      <c r="AK454">
        <f>표1[[#This Row],[RC]]/((표1[[#This Row],[AB]]-표1[[#This Row],[H]]+표1[[#This Row],[SAC]]+표1[[#This Row],[SF]]+표1[[#This Row],[CS]]+표1[[#This Row],[GDP]])/27)</f>
        <v>4.3188437500000001</v>
      </c>
      <c r="AL45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0.31298861480075901</v>
      </c>
      <c r="AM45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63.633999999999993</v>
      </c>
    </row>
    <row r="455" spans="1:39" x14ac:dyDescent="0.3">
      <c r="A455" t="str">
        <f>_xlfn.CONCAT(표1[[#This Row],[Year]],표1[[#This Row],[Player]])</f>
        <v>2012최진행</v>
      </c>
      <c r="B455">
        <v>2012</v>
      </c>
      <c r="C455">
        <v>37</v>
      </c>
      <c r="D455" t="s">
        <v>133</v>
      </c>
      <c r="E455" t="s">
        <v>11</v>
      </c>
      <c r="F455">
        <v>0.248</v>
      </c>
      <c r="G455">
        <v>120</v>
      </c>
      <c r="H455">
        <v>471</v>
      </c>
      <c r="I455">
        <v>395</v>
      </c>
      <c r="J455">
        <v>59</v>
      </c>
      <c r="K455">
        <v>98</v>
      </c>
      <c r="L455">
        <f>표1[[#This Row],[H]]-표1[[#This Row],[2B]]-표1[[#This Row],[3B]]-표1[[#This Row],[HR]]</f>
        <v>55</v>
      </c>
      <c r="M455">
        <v>26</v>
      </c>
      <c r="N455">
        <v>0</v>
      </c>
      <c r="O455">
        <v>17</v>
      </c>
      <c r="P455">
        <v>175</v>
      </c>
      <c r="Q455">
        <v>55</v>
      </c>
      <c r="R455">
        <v>0</v>
      </c>
      <c r="S455">
        <v>4</v>
      </c>
      <c r="T455">
        <v>66</v>
      </c>
      <c r="U455">
        <v>3</v>
      </c>
      <c r="V455">
        <v>6</v>
      </c>
      <c r="W455">
        <v>3</v>
      </c>
      <c r="X455">
        <v>6</v>
      </c>
      <c r="Y455">
        <v>109</v>
      </c>
      <c r="Z455">
        <v>11</v>
      </c>
      <c r="AA455">
        <v>0.443</v>
      </c>
      <c r="AB455">
        <v>0.36099999999999999</v>
      </c>
      <c r="AC455">
        <v>0.80400000000000005</v>
      </c>
      <c r="AD455">
        <v>25</v>
      </c>
      <c r="AE455">
        <v>0.24</v>
      </c>
      <c r="AF455">
        <v>0</v>
      </c>
      <c r="AG455">
        <f>(표1[[#This Row],[TB]]-표1[[#This Row],[H]])/표1[[#This Row],[AB]]</f>
        <v>0.19493670886075951</v>
      </c>
      <c r="AH455">
        <f>(표1[[#This Row],[TB]]-표1[[#This Row],[H]]+표1[[#This Row],[BB]]+표1[[#This Row],[SB]]-표1[[#This Row],[CS]])/표1[[#This Row],[AB]]</f>
        <v>0.36962025316455699</v>
      </c>
      <c r="AI455">
        <f>(표1[[#This Row],[TB]]+표1[[#This Row],[BB]]+표1[[#This Row],[HBP]]+표1[[#This Row],[SB]]-표1[[#This Row],[CS]])/(표1[[#This Row],[AB]]-표1[[#This Row],[H]]+표1[[#This Row],[CS]]+표1[[#This Row],[GDP]])</f>
        <v>0.8038585209003215</v>
      </c>
      <c r="AJ45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65.625987261146491</v>
      </c>
      <c r="AK455">
        <f>표1[[#This Row],[RC]]/((표1[[#This Row],[AB]]-표1[[#This Row],[H]]+표1[[#This Row],[SAC]]+표1[[#This Row],[SF]]+표1[[#This Row],[CS]]+표1[[#This Row],[GDP]])/27)</f>
        <v>5.6250846223839854</v>
      </c>
      <c r="AL45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0.35075427350427341</v>
      </c>
      <c r="AM45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64.838000000000008</v>
      </c>
    </row>
    <row r="456" spans="1:39" x14ac:dyDescent="0.3">
      <c r="A456" t="str">
        <f>_xlfn.CONCAT(표1[[#This Row],[Year]],표1[[#This Row],[Player]])</f>
        <v>2012장기영</v>
      </c>
      <c r="B456">
        <v>2012</v>
      </c>
      <c r="C456">
        <v>38</v>
      </c>
      <c r="D456" t="s">
        <v>128</v>
      </c>
      <c r="E456" t="s">
        <v>125</v>
      </c>
      <c r="F456">
        <v>0.246</v>
      </c>
      <c r="G456">
        <v>116</v>
      </c>
      <c r="H456">
        <v>475</v>
      </c>
      <c r="I456">
        <v>414</v>
      </c>
      <c r="J456">
        <v>64</v>
      </c>
      <c r="K456">
        <v>102</v>
      </c>
      <c r="L456">
        <f>표1[[#This Row],[H]]-표1[[#This Row],[2B]]-표1[[#This Row],[3B]]-표1[[#This Row],[HR]]</f>
        <v>80</v>
      </c>
      <c r="M456">
        <v>9</v>
      </c>
      <c r="N456">
        <v>5</v>
      </c>
      <c r="O456">
        <v>8</v>
      </c>
      <c r="P456">
        <v>145</v>
      </c>
      <c r="Q456">
        <v>35</v>
      </c>
      <c r="R456">
        <v>14</v>
      </c>
      <c r="S456">
        <v>4</v>
      </c>
      <c r="T456">
        <v>40</v>
      </c>
      <c r="U456">
        <v>0</v>
      </c>
      <c r="V456">
        <v>32</v>
      </c>
      <c r="W456">
        <v>10</v>
      </c>
      <c r="X456">
        <v>3</v>
      </c>
      <c r="Y456">
        <v>67</v>
      </c>
      <c r="Z456">
        <v>1</v>
      </c>
      <c r="AA456">
        <v>0.35</v>
      </c>
      <c r="AB456">
        <v>0.315</v>
      </c>
      <c r="AC456">
        <v>0.66500000000000004</v>
      </c>
      <c r="AD456">
        <v>22</v>
      </c>
      <c r="AE456">
        <v>0.23100000000000001</v>
      </c>
      <c r="AF456">
        <v>1</v>
      </c>
      <c r="AG456">
        <f>(표1[[#This Row],[TB]]-표1[[#This Row],[H]])/표1[[#This Row],[AB]]</f>
        <v>0.10386473429951691</v>
      </c>
      <c r="AH456">
        <f>(표1[[#This Row],[TB]]-표1[[#This Row],[H]]+표1[[#This Row],[BB]]+표1[[#This Row],[SB]]-표1[[#This Row],[CS]])/표1[[#This Row],[AB]]</f>
        <v>0.25362318840579712</v>
      </c>
      <c r="AI456">
        <f>(표1[[#This Row],[TB]]+표1[[#This Row],[BB]]+표1[[#This Row],[HBP]]+표1[[#This Row],[SB]]-표1[[#This Row],[CS]])/(표1[[#This Row],[AB]]-표1[[#This Row],[H]]+표1[[#This Row],[CS]]+표1[[#This Row],[GDP]])</f>
        <v>0.65015479876160986</v>
      </c>
      <c r="AJ45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51.393936842105269</v>
      </c>
      <c r="AK456">
        <f>표1[[#This Row],[RC]]/((표1[[#This Row],[AB]]-표1[[#This Row],[H]]+표1[[#This Row],[SAC]]+표1[[#This Row],[SF]]+표1[[#This Row],[CS]]+표1[[#This Row],[GDP]])/27)</f>
        <v>4.069314647322118</v>
      </c>
      <c r="AL45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0.29559219088937094</v>
      </c>
      <c r="AM45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53.434000000000005</v>
      </c>
    </row>
    <row r="457" spans="1:39" x14ac:dyDescent="0.3">
      <c r="A457" t="str">
        <f>_xlfn.CONCAT(표1[[#This Row],[Year]],표1[[#This Row],[Player]])</f>
        <v>2012배영섭</v>
      </c>
      <c r="B457">
        <v>2012</v>
      </c>
      <c r="C457">
        <v>39</v>
      </c>
      <c r="D457" t="s">
        <v>146</v>
      </c>
      <c r="E457" t="s">
        <v>6</v>
      </c>
      <c r="F457">
        <v>0.245</v>
      </c>
      <c r="G457">
        <v>122</v>
      </c>
      <c r="H457">
        <v>479</v>
      </c>
      <c r="I457">
        <v>412</v>
      </c>
      <c r="J457">
        <v>64</v>
      </c>
      <c r="K457">
        <v>101</v>
      </c>
      <c r="L457">
        <f>표1[[#This Row],[H]]-표1[[#This Row],[2B]]-표1[[#This Row],[3B]]-표1[[#This Row],[HR]]</f>
        <v>82</v>
      </c>
      <c r="M457">
        <v>15</v>
      </c>
      <c r="N457">
        <v>2</v>
      </c>
      <c r="O457">
        <v>2</v>
      </c>
      <c r="P457">
        <v>126</v>
      </c>
      <c r="Q457">
        <v>34</v>
      </c>
      <c r="R457">
        <v>7</v>
      </c>
      <c r="S457">
        <v>3</v>
      </c>
      <c r="T457">
        <v>48</v>
      </c>
      <c r="U457">
        <v>0</v>
      </c>
      <c r="V457">
        <v>27</v>
      </c>
      <c r="W457">
        <v>6</v>
      </c>
      <c r="X457">
        <v>9</v>
      </c>
      <c r="Y457">
        <v>69</v>
      </c>
      <c r="Z457">
        <v>4</v>
      </c>
      <c r="AA457">
        <v>0.30599999999999999</v>
      </c>
      <c r="AB457">
        <v>0.33500000000000002</v>
      </c>
      <c r="AC457">
        <v>0.64100000000000001</v>
      </c>
      <c r="AD457">
        <v>28</v>
      </c>
      <c r="AE457">
        <v>0.26</v>
      </c>
      <c r="AF457">
        <v>0.14299999999999999</v>
      </c>
      <c r="AG457">
        <f>(표1[[#This Row],[TB]]-표1[[#This Row],[H]])/표1[[#This Row],[AB]]</f>
        <v>6.0679611650485438E-2</v>
      </c>
      <c r="AH457">
        <f>(표1[[#This Row],[TB]]-표1[[#This Row],[H]]+표1[[#This Row],[BB]]+표1[[#This Row],[SB]]-표1[[#This Row],[CS]])/표1[[#This Row],[AB]]</f>
        <v>0.22815533980582525</v>
      </c>
      <c r="AI457">
        <f>(표1[[#This Row],[TB]]+표1[[#This Row],[BB]]+표1[[#This Row],[HBP]]+표1[[#This Row],[SB]]-표1[[#This Row],[CS]])/(표1[[#This Row],[AB]]-표1[[#This Row],[H]]+표1[[#This Row],[CS]]+표1[[#This Row],[GDP]])</f>
        <v>0.63551401869158874</v>
      </c>
      <c r="AJ45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49.454864300626305</v>
      </c>
      <c r="AK457">
        <f>표1[[#This Row],[RC]]/((표1[[#This Row],[AB]]-표1[[#This Row],[H]]+표1[[#This Row],[SAC]]+표1[[#This Row],[SF]]+표1[[#This Row],[CS]]+표1[[#This Row],[GDP]])/27)</f>
        <v>4.0340825864559218</v>
      </c>
      <c r="AL45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0.2930317796610169</v>
      </c>
      <c r="AM45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50.448</v>
      </c>
    </row>
    <row r="458" spans="1:39" x14ac:dyDescent="0.3">
      <c r="A458" t="str">
        <f>_xlfn.CONCAT(표1[[#This Row],[Year]],표1[[#This Row],[Player]])</f>
        <v>2012이종욱</v>
      </c>
      <c r="B458">
        <v>2012</v>
      </c>
      <c r="C458">
        <v>40</v>
      </c>
      <c r="D458" t="s">
        <v>80</v>
      </c>
      <c r="E458" t="s">
        <v>1</v>
      </c>
      <c r="F458">
        <v>0.24</v>
      </c>
      <c r="G458">
        <v>121</v>
      </c>
      <c r="H458">
        <v>497</v>
      </c>
      <c r="I458">
        <v>437</v>
      </c>
      <c r="J458">
        <v>57</v>
      </c>
      <c r="K458">
        <v>105</v>
      </c>
      <c r="L458">
        <f>표1[[#This Row],[H]]-표1[[#This Row],[2B]]-표1[[#This Row],[3B]]-표1[[#This Row],[HR]]</f>
        <v>87</v>
      </c>
      <c r="M458">
        <v>17</v>
      </c>
      <c r="N458">
        <v>1</v>
      </c>
      <c r="O458">
        <v>0</v>
      </c>
      <c r="P458">
        <v>124</v>
      </c>
      <c r="Q458">
        <v>39</v>
      </c>
      <c r="R458">
        <v>9</v>
      </c>
      <c r="S458">
        <v>5</v>
      </c>
      <c r="T458">
        <v>43</v>
      </c>
      <c r="U458">
        <v>2</v>
      </c>
      <c r="V458">
        <v>21</v>
      </c>
      <c r="W458">
        <v>8</v>
      </c>
      <c r="X458">
        <v>3</v>
      </c>
      <c r="Y458">
        <v>43</v>
      </c>
      <c r="Z458">
        <v>2</v>
      </c>
      <c r="AA458">
        <v>0.28399999999999997</v>
      </c>
      <c r="AB458">
        <v>0.309</v>
      </c>
      <c r="AC458">
        <v>0.59299999999999997</v>
      </c>
      <c r="AD458">
        <v>23</v>
      </c>
      <c r="AE458">
        <v>0.26300000000000001</v>
      </c>
      <c r="AF458">
        <v>0</v>
      </c>
      <c r="AG458">
        <f>(표1[[#This Row],[TB]]-표1[[#This Row],[H]])/표1[[#This Row],[AB]]</f>
        <v>4.3478260869565216E-2</v>
      </c>
      <c r="AH458">
        <f>(표1[[#This Row],[TB]]-표1[[#This Row],[H]]+표1[[#This Row],[BB]]+표1[[#This Row],[SB]]-표1[[#This Row],[CS]])/표1[[#This Row],[AB]]</f>
        <v>0.17162471395881007</v>
      </c>
      <c r="AI458">
        <f>(표1[[#This Row],[TB]]+표1[[#This Row],[BB]]+표1[[#This Row],[HBP]]+표1[[#This Row],[SB]]-표1[[#This Row],[CS]])/(표1[[#This Row],[AB]]-표1[[#This Row],[H]]+표1[[#This Row],[CS]]+표1[[#This Row],[GDP]])</f>
        <v>0.53508771929824561</v>
      </c>
      <c r="AJ45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43.588008048289737</v>
      </c>
      <c r="AK458">
        <f>표1[[#This Row],[RC]]/((표1[[#This Row],[AB]]-표1[[#This Row],[H]]+표1[[#This Row],[SAC]]+표1[[#This Row],[SF]]+표1[[#This Row],[CS]]+표1[[#This Row],[GDP]])/27)</f>
        <v>3.3058320710781541</v>
      </c>
      <c r="AL45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0.26824485596707814</v>
      </c>
      <c r="AM45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44.70600000000001</v>
      </c>
    </row>
    <row r="459" spans="1:39" x14ac:dyDescent="0.3">
      <c r="A459" t="str">
        <f>_xlfn.CONCAT(표1[[#This Row],[Year]],표1[[#This Row],[Player]])</f>
        <v>2013이병규</v>
      </c>
      <c r="B459">
        <v>2013</v>
      </c>
      <c r="C459">
        <v>1</v>
      </c>
      <c r="D459" t="s">
        <v>50</v>
      </c>
      <c r="E459" t="s">
        <v>36</v>
      </c>
      <c r="F459">
        <v>0.34799999999999998</v>
      </c>
      <c r="G459">
        <v>98</v>
      </c>
      <c r="H459">
        <v>401</v>
      </c>
      <c r="I459">
        <v>374</v>
      </c>
      <c r="J459">
        <v>39</v>
      </c>
      <c r="K459">
        <v>130</v>
      </c>
      <c r="L459">
        <f>표1[[#This Row],[H]]-표1[[#This Row],[2B]]-표1[[#This Row],[3B]]-표1[[#This Row],[HR]]</f>
        <v>103</v>
      </c>
      <c r="M459">
        <v>19</v>
      </c>
      <c r="N459">
        <v>3</v>
      </c>
      <c r="O459">
        <v>5</v>
      </c>
      <c r="P459">
        <v>170</v>
      </c>
      <c r="Q459">
        <v>74</v>
      </c>
      <c r="R459">
        <v>0</v>
      </c>
      <c r="S459">
        <v>3</v>
      </c>
      <c r="T459">
        <v>22</v>
      </c>
      <c r="U459">
        <v>2</v>
      </c>
      <c r="V459">
        <v>2</v>
      </c>
      <c r="W459">
        <v>2</v>
      </c>
      <c r="X459">
        <v>2</v>
      </c>
      <c r="Y459">
        <v>40</v>
      </c>
      <c r="Z459">
        <v>10</v>
      </c>
      <c r="AA459">
        <v>0.45500000000000002</v>
      </c>
      <c r="AB459">
        <v>0.38400000000000001</v>
      </c>
      <c r="AC459">
        <v>0.83899999999999997</v>
      </c>
      <c r="AD459">
        <v>35</v>
      </c>
      <c r="AE459">
        <v>0.42599999999999999</v>
      </c>
      <c r="AF459">
        <v>0</v>
      </c>
      <c r="AG459">
        <f>(표1[[#This Row],[TB]]-표1[[#This Row],[H]])/표1[[#This Row],[AB]]</f>
        <v>0.10695187165775401</v>
      </c>
      <c r="AH459">
        <f>(표1[[#This Row],[TB]]-표1[[#This Row],[H]]+표1[[#This Row],[BB]]+표1[[#This Row],[SB]]-표1[[#This Row],[CS]])/표1[[#This Row],[AB]]</f>
        <v>0.16577540106951871</v>
      </c>
      <c r="AI459">
        <f>(표1[[#This Row],[TB]]+표1[[#This Row],[BB]]+표1[[#This Row],[HBP]]+표1[[#This Row],[SB]]-표1[[#This Row],[CS]])/(표1[[#This Row],[AB]]-표1[[#This Row],[H]]+표1[[#This Row],[CS]]+표1[[#This Row],[GDP]])</f>
        <v>0.7578125</v>
      </c>
      <c r="AJ45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63.145735660847876</v>
      </c>
      <c r="AK459">
        <f>표1[[#This Row],[RC]]/((표1[[#This Row],[AB]]-표1[[#This Row],[H]]+표1[[#This Row],[SAC]]+표1[[#This Row],[SF]]+표1[[#This Row],[CS]]+표1[[#This Row],[GDP]])/27)</f>
        <v>6.5827600881964958</v>
      </c>
      <c r="AL45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0.36408020050125312</v>
      </c>
      <c r="AM45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58.330000000000013</v>
      </c>
    </row>
    <row r="460" spans="1:39" x14ac:dyDescent="0.3">
      <c r="A460" t="str">
        <f>_xlfn.CONCAT(표1[[#This Row],[Year]],표1[[#This Row],[Player]])</f>
        <v>2013손아섭</v>
      </c>
      <c r="B460">
        <v>2013</v>
      </c>
      <c r="C460">
        <v>2</v>
      </c>
      <c r="D460" t="s">
        <v>124</v>
      </c>
      <c r="E460" t="s">
        <v>17</v>
      </c>
      <c r="F460">
        <v>0.34499999999999997</v>
      </c>
      <c r="G460">
        <v>128</v>
      </c>
      <c r="H460">
        <v>568</v>
      </c>
      <c r="I460">
        <v>498</v>
      </c>
      <c r="J460">
        <v>83</v>
      </c>
      <c r="K460">
        <v>172</v>
      </c>
      <c r="L460">
        <f>표1[[#This Row],[H]]-표1[[#This Row],[2B]]-표1[[#This Row],[3B]]-표1[[#This Row],[HR]]</f>
        <v>134</v>
      </c>
      <c r="M460">
        <v>23</v>
      </c>
      <c r="N460">
        <v>4</v>
      </c>
      <c r="O460">
        <v>11</v>
      </c>
      <c r="P460">
        <v>236</v>
      </c>
      <c r="Q460">
        <v>69</v>
      </c>
      <c r="R460">
        <v>0</v>
      </c>
      <c r="S460">
        <v>3</v>
      </c>
      <c r="T460">
        <v>64</v>
      </c>
      <c r="U460">
        <v>6</v>
      </c>
      <c r="V460">
        <v>36</v>
      </c>
      <c r="W460">
        <v>7</v>
      </c>
      <c r="X460">
        <v>3</v>
      </c>
      <c r="Y460">
        <v>88</v>
      </c>
      <c r="Z460">
        <v>9</v>
      </c>
      <c r="AA460">
        <v>0.47399999999999998</v>
      </c>
      <c r="AB460">
        <v>0.42099999999999999</v>
      </c>
      <c r="AC460">
        <v>0.89500000000000002</v>
      </c>
      <c r="AD460">
        <v>49</v>
      </c>
      <c r="AE460">
        <v>0.313</v>
      </c>
      <c r="AF460">
        <v>1</v>
      </c>
      <c r="AG460">
        <f>(표1[[#This Row],[TB]]-표1[[#This Row],[H]])/표1[[#This Row],[AB]]</f>
        <v>0.12851405622489959</v>
      </c>
      <c r="AH460">
        <f>(표1[[#This Row],[TB]]-표1[[#This Row],[H]]+표1[[#This Row],[BB]]+표1[[#This Row],[SB]]-표1[[#This Row],[CS]])/표1[[#This Row],[AB]]</f>
        <v>0.31526104417670681</v>
      </c>
      <c r="AI460">
        <f>(표1[[#This Row],[TB]]+표1[[#This Row],[BB]]+표1[[#This Row],[HBP]]+표1[[#This Row],[SB]]-표1[[#This Row],[CS]])/(표1[[#This Row],[AB]]-표1[[#This Row],[H]]+표1[[#This Row],[CS]]+표1[[#This Row],[GDP]])</f>
        <v>0.9707602339181286</v>
      </c>
      <c r="AJ46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106.84369718309858</v>
      </c>
      <c r="AK460">
        <f>표1[[#This Row],[RC]]/((표1[[#This Row],[AB]]-표1[[#This Row],[H]]+표1[[#This Row],[SAC]]+표1[[#This Row],[SF]]+표1[[#This Row],[CS]]+표1[[#This Row],[GDP]])/27)</f>
        <v>8.3616806491120634</v>
      </c>
      <c r="AL46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0.38900533807829185</v>
      </c>
      <c r="AM46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97.77600000000001</v>
      </c>
    </row>
    <row r="461" spans="1:39" x14ac:dyDescent="0.3">
      <c r="A461" t="str">
        <f>_xlfn.CONCAT(표1[[#This Row],[Year]],표1[[#This Row],[Player]])</f>
        <v>2013이진영</v>
      </c>
      <c r="B461">
        <v>2013</v>
      </c>
      <c r="C461">
        <v>3</v>
      </c>
      <c r="D461" t="s">
        <v>7</v>
      </c>
      <c r="E461" t="s">
        <v>36</v>
      </c>
      <c r="F461">
        <v>0.32900000000000001</v>
      </c>
      <c r="G461">
        <v>106</v>
      </c>
      <c r="H461">
        <v>411</v>
      </c>
      <c r="I461">
        <v>368</v>
      </c>
      <c r="J461">
        <v>41</v>
      </c>
      <c r="K461">
        <v>121</v>
      </c>
      <c r="L461">
        <f>표1[[#This Row],[H]]-표1[[#This Row],[2B]]-표1[[#This Row],[3B]]-표1[[#This Row],[HR]]</f>
        <v>91</v>
      </c>
      <c r="M461">
        <v>26</v>
      </c>
      <c r="N461">
        <v>1</v>
      </c>
      <c r="O461">
        <v>3</v>
      </c>
      <c r="P461">
        <v>158</v>
      </c>
      <c r="Q461">
        <v>62</v>
      </c>
      <c r="R461">
        <v>1</v>
      </c>
      <c r="S461">
        <v>3</v>
      </c>
      <c r="T461">
        <v>37</v>
      </c>
      <c r="U461">
        <v>4</v>
      </c>
      <c r="V461">
        <v>6</v>
      </c>
      <c r="W461">
        <v>2</v>
      </c>
      <c r="X461">
        <v>2</v>
      </c>
      <c r="Y461">
        <v>42</v>
      </c>
      <c r="Z461">
        <v>6</v>
      </c>
      <c r="AA461">
        <v>0.42899999999999999</v>
      </c>
      <c r="AB461">
        <v>0.39</v>
      </c>
      <c r="AC461">
        <v>0.81899999999999995</v>
      </c>
      <c r="AD461">
        <v>32</v>
      </c>
      <c r="AE461">
        <v>0.34499999999999997</v>
      </c>
      <c r="AF461">
        <v>0.66700000000000004</v>
      </c>
      <c r="AG461">
        <f>(표1[[#This Row],[TB]]-표1[[#This Row],[H]])/표1[[#This Row],[AB]]</f>
        <v>0.10054347826086957</v>
      </c>
      <c r="AH461">
        <f>(표1[[#This Row],[TB]]-표1[[#This Row],[H]]+표1[[#This Row],[BB]]+표1[[#This Row],[SB]]-표1[[#This Row],[CS]])/표1[[#This Row],[AB]]</f>
        <v>0.21195652173913043</v>
      </c>
      <c r="AI461">
        <f>(표1[[#This Row],[TB]]+표1[[#This Row],[BB]]+표1[[#This Row],[HBP]]+표1[[#This Row],[SB]]-표1[[#This Row],[CS]])/(표1[[#This Row],[AB]]-표1[[#This Row],[H]]+표1[[#This Row],[CS]]+표1[[#This Row],[GDP]])</f>
        <v>0.78823529411764703</v>
      </c>
      <c r="AJ46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63.721654501216541</v>
      </c>
      <c r="AK461">
        <f>표1[[#This Row],[RC]]/((표1[[#This Row],[AB]]-표1[[#This Row],[H]]+표1[[#This Row],[SAC]]+표1[[#This Row],[SF]]+표1[[#This Row],[CS]]+표1[[#This Row],[GDP]])/27)</f>
        <v>6.6427979595862796</v>
      </c>
      <c r="AL46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0.357487684729064</v>
      </c>
      <c r="AM46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59.284000000000013</v>
      </c>
    </row>
    <row r="462" spans="1:39" x14ac:dyDescent="0.3">
      <c r="A462" t="str">
        <f>_xlfn.CONCAT(표1[[#This Row],[Year]],표1[[#This Row],[Player]])</f>
        <v>2013박용택</v>
      </c>
      <c r="B462">
        <v>2013</v>
      </c>
      <c r="C462">
        <v>4</v>
      </c>
      <c r="D462" t="s">
        <v>42</v>
      </c>
      <c r="E462" t="s">
        <v>36</v>
      </c>
      <c r="F462">
        <v>0.32800000000000001</v>
      </c>
      <c r="G462">
        <v>125</v>
      </c>
      <c r="H462">
        <v>539</v>
      </c>
      <c r="I462">
        <v>476</v>
      </c>
      <c r="J462">
        <v>79</v>
      </c>
      <c r="K462">
        <v>156</v>
      </c>
      <c r="L462">
        <f>표1[[#This Row],[H]]-표1[[#This Row],[2B]]-표1[[#This Row],[3B]]-표1[[#This Row],[HR]]</f>
        <v>123</v>
      </c>
      <c r="M462">
        <v>22</v>
      </c>
      <c r="N462">
        <v>4</v>
      </c>
      <c r="O462">
        <v>7</v>
      </c>
      <c r="P462">
        <v>207</v>
      </c>
      <c r="Q462">
        <v>67</v>
      </c>
      <c r="R462">
        <v>0</v>
      </c>
      <c r="S462">
        <v>7</v>
      </c>
      <c r="T462">
        <v>52</v>
      </c>
      <c r="U462">
        <v>1</v>
      </c>
      <c r="V462">
        <v>13</v>
      </c>
      <c r="W462">
        <v>8</v>
      </c>
      <c r="X462">
        <v>4</v>
      </c>
      <c r="Y462">
        <v>71</v>
      </c>
      <c r="Z462">
        <v>5</v>
      </c>
      <c r="AA462">
        <v>0.435</v>
      </c>
      <c r="AB462">
        <v>0.39300000000000002</v>
      </c>
      <c r="AC462">
        <v>0.82799999999999996</v>
      </c>
      <c r="AD462">
        <v>47</v>
      </c>
      <c r="AE462">
        <v>0.32200000000000001</v>
      </c>
      <c r="AF462">
        <v>0</v>
      </c>
      <c r="AG462">
        <f>(표1[[#This Row],[TB]]-표1[[#This Row],[H]])/표1[[#This Row],[AB]]</f>
        <v>0.10714285714285714</v>
      </c>
      <c r="AH462">
        <f>(표1[[#This Row],[TB]]-표1[[#This Row],[H]]+표1[[#This Row],[BB]]+표1[[#This Row],[SB]]-표1[[#This Row],[CS]])/표1[[#This Row],[AB]]</f>
        <v>0.22689075630252101</v>
      </c>
      <c r="AI462">
        <f>(표1[[#This Row],[TB]]+표1[[#This Row],[BB]]+표1[[#This Row],[HBP]]+표1[[#This Row],[SB]]-표1[[#This Row],[CS]])/(표1[[#This Row],[AB]]-표1[[#This Row],[H]]+표1[[#This Row],[CS]]+표1[[#This Row],[GDP]])</f>
        <v>0.80480480480480476</v>
      </c>
      <c r="AJ46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85.544155844155853</v>
      </c>
      <c r="AK462">
        <f>표1[[#This Row],[RC]]/((표1[[#This Row],[AB]]-표1[[#This Row],[H]]+표1[[#This Row],[SAC]]+표1[[#This Row],[SF]]+표1[[#This Row],[CS]]+표1[[#This Row],[GDP]])/27)</f>
        <v>6.7932123758594347</v>
      </c>
      <c r="AL46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0.36299814126394053</v>
      </c>
      <c r="AM46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81.682000000000016</v>
      </c>
    </row>
    <row r="463" spans="1:39" x14ac:dyDescent="0.3">
      <c r="A463" t="str">
        <f>_xlfn.CONCAT(표1[[#This Row],[Year]],표1[[#This Row],[Player]])</f>
        <v>2013김태균</v>
      </c>
      <c r="B463">
        <v>2013</v>
      </c>
      <c r="C463">
        <v>5</v>
      </c>
      <c r="D463" t="s">
        <v>10</v>
      </c>
      <c r="E463" t="s">
        <v>11</v>
      </c>
      <c r="F463">
        <v>0.31900000000000001</v>
      </c>
      <c r="G463">
        <v>101</v>
      </c>
      <c r="H463">
        <v>430</v>
      </c>
      <c r="I463">
        <v>345</v>
      </c>
      <c r="J463">
        <v>41</v>
      </c>
      <c r="K463">
        <v>110</v>
      </c>
      <c r="L463">
        <f>표1[[#This Row],[H]]-표1[[#This Row],[2B]]-표1[[#This Row],[3B]]-표1[[#This Row],[HR]]</f>
        <v>76</v>
      </c>
      <c r="M463">
        <v>24</v>
      </c>
      <c r="N463">
        <v>0</v>
      </c>
      <c r="O463">
        <v>10</v>
      </c>
      <c r="P463">
        <v>164</v>
      </c>
      <c r="Q463">
        <v>52</v>
      </c>
      <c r="R463">
        <v>0</v>
      </c>
      <c r="S463">
        <v>4</v>
      </c>
      <c r="T463">
        <v>73</v>
      </c>
      <c r="U463">
        <v>7</v>
      </c>
      <c r="V463">
        <v>0</v>
      </c>
      <c r="W463">
        <v>3</v>
      </c>
      <c r="X463">
        <v>8</v>
      </c>
      <c r="Y463">
        <v>67</v>
      </c>
      <c r="Z463">
        <v>14</v>
      </c>
      <c r="AA463">
        <v>0.47499999999999998</v>
      </c>
      <c r="AB463">
        <v>0.44400000000000001</v>
      </c>
      <c r="AC463">
        <v>0.91900000000000004</v>
      </c>
      <c r="AD463">
        <v>29</v>
      </c>
      <c r="AE463">
        <v>0.28100000000000003</v>
      </c>
      <c r="AF463">
        <v>0</v>
      </c>
      <c r="AG463">
        <f>(표1[[#This Row],[TB]]-표1[[#This Row],[H]])/표1[[#This Row],[AB]]</f>
        <v>0.15652173913043479</v>
      </c>
      <c r="AH463">
        <f>(표1[[#This Row],[TB]]-표1[[#This Row],[H]]+표1[[#This Row],[BB]]+표1[[#This Row],[SB]]-표1[[#This Row],[CS]])/표1[[#This Row],[AB]]</f>
        <v>0.35942028985507246</v>
      </c>
      <c r="AI463">
        <f>(표1[[#This Row],[TB]]+표1[[#This Row],[BB]]+표1[[#This Row],[HBP]]+표1[[#This Row],[SB]]-표1[[#This Row],[CS]])/(표1[[#This Row],[AB]]-표1[[#This Row],[H]]+표1[[#This Row],[CS]]+표1[[#This Row],[GDP]])</f>
        <v>0.96031746031746035</v>
      </c>
      <c r="AJ46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74.989953488372109</v>
      </c>
      <c r="AK463">
        <f>표1[[#This Row],[RC]]/((표1[[#This Row],[AB]]-표1[[#This Row],[H]]+표1[[#This Row],[SAC]]+표1[[#This Row],[SF]]+표1[[#This Row],[CS]]+표1[[#This Row],[GDP]])/27)</f>
        <v>7.9090966569767467</v>
      </c>
      <c r="AL46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0.40026950354609919</v>
      </c>
      <c r="AM46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70.244000000000014</v>
      </c>
    </row>
    <row r="464" spans="1:39" x14ac:dyDescent="0.3">
      <c r="A464" t="str">
        <f>_xlfn.CONCAT(표1[[#This Row],[Year]],표1[[#This Row],[Player]])</f>
        <v>2013민병헌</v>
      </c>
      <c r="B464">
        <v>2013</v>
      </c>
      <c r="C464">
        <v>6</v>
      </c>
      <c r="D464" t="s">
        <v>147</v>
      </c>
      <c r="E464" t="s">
        <v>1</v>
      </c>
      <c r="F464">
        <v>0.31900000000000001</v>
      </c>
      <c r="G464">
        <v>119</v>
      </c>
      <c r="H464">
        <v>449</v>
      </c>
      <c r="I464">
        <v>383</v>
      </c>
      <c r="J464">
        <v>71</v>
      </c>
      <c r="K464">
        <v>122</v>
      </c>
      <c r="L464">
        <f>표1[[#This Row],[H]]-표1[[#This Row],[2B]]-표1[[#This Row],[3B]]-표1[[#This Row],[HR]]</f>
        <v>85</v>
      </c>
      <c r="M464">
        <v>21</v>
      </c>
      <c r="N464">
        <v>7</v>
      </c>
      <c r="O464">
        <v>9</v>
      </c>
      <c r="P464">
        <v>184</v>
      </c>
      <c r="Q464">
        <v>65</v>
      </c>
      <c r="R464">
        <v>12</v>
      </c>
      <c r="S464">
        <v>7</v>
      </c>
      <c r="T464">
        <v>40</v>
      </c>
      <c r="U464">
        <v>0</v>
      </c>
      <c r="V464">
        <v>27</v>
      </c>
      <c r="W464">
        <v>8</v>
      </c>
      <c r="X464">
        <v>7</v>
      </c>
      <c r="Y464">
        <v>62</v>
      </c>
      <c r="Z464">
        <v>7</v>
      </c>
      <c r="AA464">
        <v>0.48</v>
      </c>
      <c r="AB464">
        <v>0.38700000000000001</v>
      </c>
      <c r="AC464">
        <v>0.86699999999999999</v>
      </c>
      <c r="AD464">
        <v>31</v>
      </c>
      <c r="AE464">
        <v>0.36899999999999999</v>
      </c>
      <c r="AF464">
        <v>0.6</v>
      </c>
      <c r="AG464">
        <f>(표1[[#This Row],[TB]]-표1[[#This Row],[H]])/표1[[#This Row],[AB]]</f>
        <v>0.16187989556135771</v>
      </c>
      <c r="AH464">
        <f>(표1[[#This Row],[TB]]-표1[[#This Row],[H]]+표1[[#This Row],[BB]]+표1[[#This Row],[SB]]-표1[[#This Row],[CS]])/표1[[#This Row],[AB]]</f>
        <v>0.31592689295039167</v>
      </c>
      <c r="AI464">
        <f>(표1[[#This Row],[TB]]+표1[[#This Row],[BB]]+표1[[#This Row],[HBP]]+표1[[#This Row],[SB]]-표1[[#This Row],[CS]])/(표1[[#This Row],[AB]]-표1[[#This Row],[H]]+표1[[#This Row],[CS]]+표1[[#This Row],[GDP]])</f>
        <v>0.90579710144927539</v>
      </c>
      <c r="AJ46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75.504587973273942</v>
      </c>
      <c r="AK464">
        <f>표1[[#This Row],[RC]]/((표1[[#This Row],[AB]]-표1[[#This Row],[H]]+표1[[#This Row],[SAC]]+표1[[#This Row],[SF]]+표1[[#This Row],[CS]]+표1[[#This Row],[GDP]])/27)</f>
        <v>6.9105894077233776</v>
      </c>
      <c r="AL46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0.37506636155606404</v>
      </c>
      <c r="AM46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72.634</v>
      </c>
    </row>
    <row r="465" spans="1:39" x14ac:dyDescent="0.3">
      <c r="A465" t="str">
        <f>_xlfn.CONCAT(표1[[#This Row],[Year]],표1[[#This Row],[Player]])</f>
        <v>2013박석민</v>
      </c>
      <c r="B465">
        <v>2013</v>
      </c>
      <c r="C465">
        <v>7</v>
      </c>
      <c r="D465" t="s">
        <v>104</v>
      </c>
      <c r="E465" t="s">
        <v>6</v>
      </c>
      <c r="F465">
        <v>0.318</v>
      </c>
      <c r="G465">
        <v>117</v>
      </c>
      <c r="H465">
        <v>474</v>
      </c>
      <c r="I465">
        <v>396</v>
      </c>
      <c r="J465">
        <v>61</v>
      </c>
      <c r="K465">
        <v>126</v>
      </c>
      <c r="L465">
        <f>표1[[#This Row],[H]]-표1[[#This Row],[2B]]-표1[[#This Row],[3B]]-표1[[#This Row],[HR]]</f>
        <v>84</v>
      </c>
      <c r="M465">
        <v>24</v>
      </c>
      <c r="N465">
        <v>0</v>
      </c>
      <c r="O465">
        <v>18</v>
      </c>
      <c r="P465">
        <v>204</v>
      </c>
      <c r="Q465">
        <v>76</v>
      </c>
      <c r="R465">
        <v>0</v>
      </c>
      <c r="S465">
        <v>2</v>
      </c>
      <c r="T465">
        <v>54</v>
      </c>
      <c r="U465">
        <v>1</v>
      </c>
      <c r="V465">
        <v>4</v>
      </c>
      <c r="W465">
        <v>2</v>
      </c>
      <c r="X465">
        <v>21</v>
      </c>
      <c r="Y465">
        <v>73</v>
      </c>
      <c r="Z465">
        <v>13</v>
      </c>
      <c r="AA465">
        <v>0.51500000000000001</v>
      </c>
      <c r="AB465">
        <v>0.42499999999999999</v>
      </c>
      <c r="AC465">
        <v>0.94</v>
      </c>
      <c r="AD465">
        <v>37</v>
      </c>
      <c r="AE465">
        <v>0.38500000000000001</v>
      </c>
      <c r="AF465">
        <v>0</v>
      </c>
      <c r="AG465">
        <f>(표1[[#This Row],[TB]]-표1[[#This Row],[H]])/표1[[#This Row],[AB]]</f>
        <v>0.19696969696969696</v>
      </c>
      <c r="AH465">
        <f>(표1[[#This Row],[TB]]-표1[[#This Row],[H]]+표1[[#This Row],[BB]]+표1[[#This Row],[SB]]-표1[[#This Row],[CS]])/표1[[#This Row],[AB]]</f>
        <v>0.3383838383838384</v>
      </c>
      <c r="AI465">
        <f>(표1[[#This Row],[TB]]+표1[[#This Row],[BB]]+표1[[#This Row],[HBP]]+표1[[#This Row],[SB]]-표1[[#This Row],[CS]])/(표1[[#This Row],[AB]]-표1[[#This Row],[H]]+표1[[#This Row],[CS]]+표1[[#This Row],[GDP]])</f>
        <v>0.98596491228070171</v>
      </c>
      <c r="AJ46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89.012600422832975</v>
      </c>
      <c r="AK465">
        <f>표1[[#This Row],[RC]]/((표1[[#This Row],[AB]]-표1[[#This Row],[H]]+표1[[#This Row],[SAC]]+표1[[#This Row],[SF]]+표1[[#This Row],[CS]]+표1[[#This Row],[GDP]])/27)</f>
        <v>8.3740077052839386</v>
      </c>
      <c r="AL46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0.40943432203389829</v>
      </c>
      <c r="AM46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81.73599999999999</v>
      </c>
    </row>
    <row r="466" spans="1:39" x14ac:dyDescent="0.3">
      <c r="A466" t="str">
        <f>_xlfn.CONCAT(표1[[#This Row],[Year]],표1[[#This Row],[Player]])</f>
        <v>2013박병호</v>
      </c>
      <c r="B466">
        <v>2013</v>
      </c>
      <c r="C466">
        <v>8</v>
      </c>
      <c r="D466" t="s">
        <v>142</v>
      </c>
      <c r="E466" t="s">
        <v>125</v>
      </c>
      <c r="F466">
        <v>0.318</v>
      </c>
      <c r="G466">
        <v>128</v>
      </c>
      <c r="H466">
        <v>556</v>
      </c>
      <c r="I466">
        <v>450</v>
      </c>
      <c r="J466">
        <v>91</v>
      </c>
      <c r="K466">
        <v>143</v>
      </c>
      <c r="L466">
        <f>표1[[#This Row],[H]]-표1[[#This Row],[2B]]-표1[[#This Row],[3B]]-표1[[#This Row],[HR]]</f>
        <v>89</v>
      </c>
      <c r="M466">
        <v>17</v>
      </c>
      <c r="N466">
        <v>0</v>
      </c>
      <c r="O466">
        <v>37</v>
      </c>
      <c r="P466">
        <v>271</v>
      </c>
      <c r="Q466">
        <v>117</v>
      </c>
      <c r="R466">
        <v>0</v>
      </c>
      <c r="S466">
        <v>6</v>
      </c>
      <c r="T466">
        <v>92</v>
      </c>
      <c r="U466">
        <v>4</v>
      </c>
      <c r="V466">
        <v>10</v>
      </c>
      <c r="W466">
        <v>2</v>
      </c>
      <c r="X466">
        <v>8</v>
      </c>
      <c r="Y466">
        <v>96</v>
      </c>
      <c r="Z466">
        <v>7</v>
      </c>
      <c r="AA466">
        <v>0.60199999999999998</v>
      </c>
      <c r="AB466">
        <v>0.437</v>
      </c>
      <c r="AC466">
        <v>1.0389999999999999</v>
      </c>
      <c r="AD466">
        <v>40</v>
      </c>
      <c r="AE466">
        <v>0.28799999999999998</v>
      </c>
      <c r="AF466">
        <v>0</v>
      </c>
      <c r="AG466">
        <f>(표1[[#This Row],[TB]]-표1[[#This Row],[H]])/표1[[#This Row],[AB]]</f>
        <v>0.28444444444444444</v>
      </c>
      <c r="AH466">
        <f>(표1[[#This Row],[TB]]-표1[[#This Row],[H]]+표1[[#This Row],[BB]]+표1[[#This Row],[SB]]-표1[[#This Row],[CS]])/표1[[#This Row],[AB]]</f>
        <v>0.50666666666666671</v>
      </c>
      <c r="AI466">
        <f>(표1[[#This Row],[TB]]+표1[[#This Row],[BB]]+표1[[#This Row],[HBP]]+표1[[#This Row],[SB]]-표1[[#This Row],[CS]])/(표1[[#This Row],[AB]]-표1[[#This Row],[H]]+표1[[#This Row],[CS]]+표1[[#This Row],[GDP]])</f>
        <v>1.1993670886075949</v>
      </c>
      <c r="AJ46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128.06028776978417</v>
      </c>
      <c r="AK466">
        <f>표1[[#This Row],[RC]]/((표1[[#This Row],[AB]]-표1[[#This Row],[H]]+표1[[#This Row],[SAC]]+표1[[#This Row],[SF]]+표1[[#This Row],[CS]]+표1[[#This Row],[GDP]])/27)</f>
        <v>10.737974440323518</v>
      </c>
      <c r="AL46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0.43980978260869563</v>
      </c>
      <c r="AM46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116.05200000000001</v>
      </c>
    </row>
    <row r="467" spans="1:39" x14ac:dyDescent="0.3">
      <c r="A467" t="str">
        <f>_xlfn.CONCAT(표1[[#This Row],[Year]],표1[[#This Row],[Player]])</f>
        <v>2013최정</v>
      </c>
      <c r="B467">
        <v>2013</v>
      </c>
      <c r="C467">
        <v>9</v>
      </c>
      <c r="D467" t="s">
        <v>92</v>
      </c>
      <c r="E467" t="s">
        <v>8</v>
      </c>
      <c r="F467">
        <v>0.316</v>
      </c>
      <c r="G467">
        <v>120</v>
      </c>
      <c r="H467">
        <v>525</v>
      </c>
      <c r="I467">
        <v>434</v>
      </c>
      <c r="J467">
        <v>75</v>
      </c>
      <c r="K467">
        <v>137</v>
      </c>
      <c r="L467">
        <f>표1[[#This Row],[H]]-표1[[#This Row],[2B]]-표1[[#This Row],[3B]]-표1[[#This Row],[HR]]</f>
        <v>91</v>
      </c>
      <c r="M467">
        <v>18</v>
      </c>
      <c r="N467">
        <v>0</v>
      </c>
      <c r="O467">
        <v>28</v>
      </c>
      <c r="P467">
        <v>239</v>
      </c>
      <c r="Q467">
        <v>83</v>
      </c>
      <c r="R467">
        <v>1</v>
      </c>
      <c r="S467">
        <v>2</v>
      </c>
      <c r="T467">
        <v>64</v>
      </c>
      <c r="U467">
        <v>9</v>
      </c>
      <c r="V467">
        <v>24</v>
      </c>
      <c r="W467">
        <v>8</v>
      </c>
      <c r="X467">
        <v>24</v>
      </c>
      <c r="Y467">
        <v>109</v>
      </c>
      <c r="Z467">
        <v>10</v>
      </c>
      <c r="AA467">
        <v>0.55100000000000005</v>
      </c>
      <c r="AB467">
        <v>0.42899999999999999</v>
      </c>
      <c r="AC467">
        <v>0.98</v>
      </c>
      <c r="AD467">
        <v>32</v>
      </c>
      <c r="AE467">
        <v>0.30199999999999999</v>
      </c>
      <c r="AF467">
        <v>1</v>
      </c>
      <c r="AG467">
        <f>(표1[[#This Row],[TB]]-표1[[#This Row],[H]])/표1[[#This Row],[AB]]</f>
        <v>0.23502304147465439</v>
      </c>
      <c r="AH467">
        <f>(표1[[#This Row],[TB]]-표1[[#This Row],[H]]+표1[[#This Row],[BB]]+표1[[#This Row],[SB]]-표1[[#This Row],[CS]])/표1[[#This Row],[AB]]</f>
        <v>0.41935483870967744</v>
      </c>
      <c r="AI467">
        <f>(표1[[#This Row],[TB]]+표1[[#This Row],[BB]]+표1[[#This Row],[HBP]]+표1[[#This Row],[SB]]-표1[[#This Row],[CS]])/(표1[[#This Row],[AB]]-표1[[#This Row],[H]]+표1[[#This Row],[CS]]+표1[[#This Row],[GDP]])</f>
        <v>1.0888888888888888</v>
      </c>
      <c r="AJ46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107.86868571428572</v>
      </c>
      <c r="AK467">
        <f>표1[[#This Row],[RC]]/((표1[[#This Row],[AB]]-표1[[#This Row],[H]]+표1[[#This Row],[SAC]]+표1[[#This Row],[SF]]+표1[[#This Row],[CS]]+표1[[#This Row],[GDP]])/27)</f>
        <v>9.1586619946091634</v>
      </c>
      <c r="AL46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0.41946990291262132</v>
      </c>
      <c r="AM46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99.127999999999986</v>
      </c>
    </row>
    <row r="468" spans="1:39" x14ac:dyDescent="0.3">
      <c r="A468" t="str">
        <f>_xlfn.CONCAT(표1[[#This Row],[Year]],표1[[#This Row],[Player]])</f>
        <v>2013정성훈</v>
      </c>
      <c r="B468">
        <v>2013</v>
      </c>
      <c r="C468">
        <v>10</v>
      </c>
      <c r="D468" t="s">
        <v>208</v>
      </c>
      <c r="E468" t="s">
        <v>36</v>
      </c>
      <c r="F468">
        <v>0.312</v>
      </c>
      <c r="G468">
        <v>121</v>
      </c>
      <c r="H468">
        <v>477</v>
      </c>
      <c r="I468">
        <v>407</v>
      </c>
      <c r="J468">
        <v>64</v>
      </c>
      <c r="K468">
        <v>127</v>
      </c>
      <c r="L468">
        <f>표1[[#This Row],[H]]-표1[[#This Row],[2B]]-표1[[#This Row],[3B]]-표1[[#This Row],[HR]]</f>
        <v>95</v>
      </c>
      <c r="M468">
        <v>22</v>
      </c>
      <c r="N468">
        <v>1</v>
      </c>
      <c r="O468">
        <v>9</v>
      </c>
      <c r="P468">
        <v>178</v>
      </c>
      <c r="Q468">
        <v>62</v>
      </c>
      <c r="R468">
        <v>0</v>
      </c>
      <c r="S468">
        <v>4</v>
      </c>
      <c r="T468">
        <v>59</v>
      </c>
      <c r="U468">
        <v>0</v>
      </c>
      <c r="V468">
        <v>13</v>
      </c>
      <c r="W468">
        <v>6</v>
      </c>
      <c r="X468">
        <v>7</v>
      </c>
      <c r="Y468">
        <v>58</v>
      </c>
      <c r="Z468">
        <v>12</v>
      </c>
      <c r="AA468">
        <v>0.437</v>
      </c>
      <c r="AB468">
        <v>0.40500000000000003</v>
      </c>
      <c r="AC468">
        <v>0.84199999999999997</v>
      </c>
      <c r="AD468">
        <v>33</v>
      </c>
      <c r="AE468">
        <v>0.29899999999999999</v>
      </c>
      <c r="AF468">
        <v>0.16700000000000001</v>
      </c>
      <c r="AG468">
        <f>(표1[[#This Row],[TB]]-표1[[#This Row],[H]])/표1[[#This Row],[AB]]</f>
        <v>0.12530712530712532</v>
      </c>
      <c r="AH468">
        <f>(표1[[#This Row],[TB]]-표1[[#This Row],[H]]+표1[[#This Row],[BB]]+표1[[#This Row],[SB]]-표1[[#This Row],[CS]])/표1[[#This Row],[AB]]</f>
        <v>0.28746928746928746</v>
      </c>
      <c r="AI468">
        <f>(표1[[#This Row],[TB]]+표1[[#This Row],[BB]]+표1[[#This Row],[HBP]]+표1[[#This Row],[SB]]-표1[[#This Row],[CS]])/(표1[[#This Row],[AB]]-표1[[#This Row],[H]]+표1[[#This Row],[CS]]+표1[[#This Row],[GDP]])</f>
        <v>0.84228187919463082</v>
      </c>
      <c r="AJ46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74.842767295597483</v>
      </c>
      <c r="AK468">
        <f>표1[[#This Row],[RC]]/((표1[[#This Row],[AB]]-표1[[#This Row],[H]]+표1[[#This Row],[SAC]]+표1[[#This Row],[SF]]+표1[[#This Row],[CS]]+표1[[#This Row],[GDP]])/27)</f>
        <v>6.6912407847057356</v>
      </c>
      <c r="AL46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0.37226834381551355</v>
      </c>
      <c r="AM46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71.576000000000008</v>
      </c>
    </row>
    <row r="469" spans="1:39" x14ac:dyDescent="0.3">
      <c r="A469" t="str">
        <f>_xlfn.CONCAT(표1[[#This Row],[Year]],표1[[#This Row],[Player]])</f>
        <v>2013신종길</v>
      </c>
      <c r="B469">
        <v>2013</v>
      </c>
      <c r="C469">
        <v>11</v>
      </c>
      <c r="D469" t="s">
        <v>148</v>
      </c>
      <c r="E469" t="s">
        <v>13</v>
      </c>
      <c r="F469">
        <v>0.31</v>
      </c>
      <c r="G469">
        <v>104</v>
      </c>
      <c r="H469">
        <v>427</v>
      </c>
      <c r="I469">
        <v>377</v>
      </c>
      <c r="J469">
        <v>55</v>
      </c>
      <c r="K469">
        <v>117</v>
      </c>
      <c r="L469">
        <f>표1[[#This Row],[H]]-표1[[#This Row],[2B]]-표1[[#This Row],[3B]]-표1[[#This Row],[HR]]</f>
        <v>86</v>
      </c>
      <c r="M469">
        <v>22</v>
      </c>
      <c r="N469">
        <v>5</v>
      </c>
      <c r="O469">
        <v>4</v>
      </c>
      <c r="P469">
        <v>161</v>
      </c>
      <c r="Q469">
        <v>50</v>
      </c>
      <c r="R469">
        <v>11</v>
      </c>
      <c r="S469">
        <v>4</v>
      </c>
      <c r="T469">
        <v>30</v>
      </c>
      <c r="U469">
        <v>0</v>
      </c>
      <c r="V469">
        <v>29</v>
      </c>
      <c r="W469">
        <v>6</v>
      </c>
      <c r="X469">
        <v>5</v>
      </c>
      <c r="Y469">
        <v>86</v>
      </c>
      <c r="Z469">
        <v>3</v>
      </c>
      <c r="AA469">
        <v>0.42699999999999999</v>
      </c>
      <c r="AB469">
        <v>0.36499999999999999</v>
      </c>
      <c r="AC469">
        <v>0.79200000000000004</v>
      </c>
      <c r="AD469">
        <v>34</v>
      </c>
      <c r="AE469">
        <v>0.28999999999999998</v>
      </c>
      <c r="AF469">
        <v>0.5</v>
      </c>
      <c r="AG469">
        <f>(표1[[#This Row],[TB]]-표1[[#This Row],[H]])/표1[[#This Row],[AB]]</f>
        <v>0.11671087533156499</v>
      </c>
      <c r="AH469">
        <f>(표1[[#This Row],[TB]]-표1[[#This Row],[H]]+표1[[#This Row],[BB]]+표1[[#This Row],[SB]]-표1[[#This Row],[CS]])/표1[[#This Row],[AB]]</f>
        <v>0.2572944297082228</v>
      </c>
      <c r="AI469">
        <f>(표1[[#This Row],[TB]]+표1[[#This Row],[BB]]+표1[[#This Row],[HBP]]+표1[[#This Row],[SB]]-표1[[#This Row],[CS]])/(표1[[#This Row],[AB]]-표1[[#This Row],[H]]+표1[[#This Row],[CS]]+표1[[#This Row],[GDP]])</f>
        <v>0.81412639405204457</v>
      </c>
      <c r="AJ46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64.627962529274001</v>
      </c>
      <c r="AK469">
        <f>표1[[#This Row],[RC]]/((표1[[#This Row],[AB]]-표1[[#This Row],[H]]+표1[[#This Row],[SAC]]+표1[[#This Row],[SF]]+표1[[#This Row],[CS]]+표1[[#This Row],[GDP]])/27)</f>
        <v>6.1442077052478803</v>
      </c>
      <c r="AL46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0.34667067307692306</v>
      </c>
      <c r="AM46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61.722000000000016</v>
      </c>
    </row>
    <row r="470" spans="1:39" x14ac:dyDescent="0.3">
      <c r="A470" t="str">
        <f>_xlfn.CONCAT(표1[[#This Row],[Year]],표1[[#This Row],[Player]])</f>
        <v>2013이종욱</v>
      </c>
      <c r="B470">
        <v>2013</v>
      </c>
      <c r="C470">
        <v>12</v>
      </c>
      <c r="D470" t="s">
        <v>80</v>
      </c>
      <c r="E470" t="s">
        <v>1</v>
      </c>
      <c r="F470">
        <v>0.307</v>
      </c>
      <c r="G470">
        <v>110</v>
      </c>
      <c r="H470">
        <v>456</v>
      </c>
      <c r="I470">
        <v>401</v>
      </c>
      <c r="J470">
        <v>77</v>
      </c>
      <c r="K470">
        <v>123</v>
      </c>
      <c r="L470">
        <f>표1[[#This Row],[H]]-표1[[#This Row],[2B]]-표1[[#This Row],[3B]]-표1[[#This Row],[HR]]</f>
        <v>88</v>
      </c>
      <c r="M470">
        <v>23</v>
      </c>
      <c r="N470">
        <v>6</v>
      </c>
      <c r="O470">
        <v>6</v>
      </c>
      <c r="P470">
        <v>176</v>
      </c>
      <c r="Q470">
        <v>52</v>
      </c>
      <c r="R470">
        <v>12</v>
      </c>
      <c r="S470">
        <v>2</v>
      </c>
      <c r="T470">
        <v>38</v>
      </c>
      <c r="U470">
        <v>1</v>
      </c>
      <c r="V470">
        <v>30</v>
      </c>
      <c r="W470">
        <v>7</v>
      </c>
      <c r="X470">
        <v>3</v>
      </c>
      <c r="Y470">
        <v>57</v>
      </c>
      <c r="Z470">
        <v>6</v>
      </c>
      <c r="AA470">
        <v>0.439</v>
      </c>
      <c r="AB470">
        <v>0.36899999999999999</v>
      </c>
      <c r="AC470">
        <v>0.80800000000000005</v>
      </c>
      <c r="AD470">
        <v>36</v>
      </c>
      <c r="AE470">
        <v>0.28599999999999998</v>
      </c>
      <c r="AF470">
        <v>0.33300000000000002</v>
      </c>
      <c r="AG470">
        <f>(표1[[#This Row],[TB]]-표1[[#This Row],[H]])/표1[[#This Row],[AB]]</f>
        <v>0.13216957605985039</v>
      </c>
      <c r="AH470">
        <f>(표1[[#This Row],[TB]]-표1[[#This Row],[H]]+표1[[#This Row],[BB]]+표1[[#This Row],[SB]]-표1[[#This Row],[CS]])/표1[[#This Row],[AB]]</f>
        <v>0.28428927680798005</v>
      </c>
      <c r="AI470">
        <f>(표1[[#This Row],[TB]]+표1[[#This Row],[BB]]+표1[[#This Row],[HBP]]+표1[[#This Row],[SB]]-표1[[#This Row],[CS]])/(표1[[#This Row],[AB]]-표1[[#This Row],[H]]+표1[[#This Row],[CS]]+표1[[#This Row],[GDP]])</f>
        <v>0.82474226804123707</v>
      </c>
      <c r="AJ47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69.301052631578941</v>
      </c>
      <c r="AK470">
        <f>표1[[#This Row],[RC]]/((표1[[#This Row],[AB]]-표1[[#This Row],[H]]+표1[[#This Row],[SAC]]+표1[[#This Row],[SF]]+표1[[#This Row],[CS]]+표1[[#This Row],[GDP]])/27)</f>
        <v>6.1348472821397753</v>
      </c>
      <c r="AL47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0.35291647855530472</v>
      </c>
      <c r="AM47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65.974000000000018</v>
      </c>
    </row>
    <row r="471" spans="1:39" x14ac:dyDescent="0.3">
      <c r="A471" t="str">
        <f>_xlfn.CONCAT(표1[[#This Row],[Year]],표1[[#This Row],[Player]])</f>
        <v>2013최형우</v>
      </c>
      <c r="B471">
        <v>2013</v>
      </c>
      <c r="C471">
        <v>13</v>
      </c>
      <c r="D471" t="s">
        <v>105</v>
      </c>
      <c r="E471" t="s">
        <v>6</v>
      </c>
      <c r="F471">
        <v>0.30499999999999999</v>
      </c>
      <c r="G471">
        <v>128</v>
      </c>
      <c r="H471">
        <v>573</v>
      </c>
      <c r="I471">
        <v>511</v>
      </c>
      <c r="J471">
        <v>80</v>
      </c>
      <c r="K471">
        <v>156</v>
      </c>
      <c r="L471">
        <f>표1[[#This Row],[H]]-표1[[#This Row],[2B]]-표1[[#This Row],[3B]]-표1[[#This Row],[HR]]</f>
        <v>99</v>
      </c>
      <c r="M471">
        <v>28</v>
      </c>
      <c r="N471">
        <v>0</v>
      </c>
      <c r="O471">
        <v>29</v>
      </c>
      <c r="P471">
        <v>271</v>
      </c>
      <c r="Q471">
        <v>98</v>
      </c>
      <c r="R471">
        <v>0</v>
      </c>
      <c r="S471">
        <v>8</v>
      </c>
      <c r="T471">
        <v>47</v>
      </c>
      <c r="U471">
        <v>1</v>
      </c>
      <c r="V471">
        <v>2</v>
      </c>
      <c r="W471">
        <v>1</v>
      </c>
      <c r="X471">
        <v>7</v>
      </c>
      <c r="Y471">
        <v>91</v>
      </c>
      <c r="Z471">
        <v>5</v>
      </c>
      <c r="AA471">
        <v>0.53</v>
      </c>
      <c r="AB471">
        <v>0.36599999999999999</v>
      </c>
      <c r="AC471">
        <v>0.89600000000000002</v>
      </c>
      <c r="AD471">
        <v>40</v>
      </c>
      <c r="AE471">
        <v>0.32900000000000001</v>
      </c>
      <c r="AF471">
        <v>0</v>
      </c>
      <c r="AG471">
        <f>(표1[[#This Row],[TB]]-표1[[#This Row],[H]])/표1[[#This Row],[AB]]</f>
        <v>0.22504892367906065</v>
      </c>
      <c r="AH471">
        <f>(표1[[#This Row],[TB]]-표1[[#This Row],[H]]+표1[[#This Row],[BB]]+표1[[#This Row],[SB]]-표1[[#This Row],[CS]])/표1[[#This Row],[AB]]</f>
        <v>0.31898238747553814</v>
      </c>
      <c r="AI471">
        <f>(표1[[#This Row],[TB]]+표1[[#This Row],[BB]]+표1[[#This Row],[HBP]]+표1[[#This Row],[SB]]-표1[[#This Row],[CS]])/(표1[[#This Row],[AB]]-표1[[#This Row],[H]]+표1[[#This Row],[CS]]+표1[[#This Row],[GDP]])</f>
        <v>0.90304709141274242</v>
      </c>
      <c r="AJ47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103.23895287958113</v>
      </c>
      <c r="AK471">
        <f>표1[[#This Row],[RC]]/((표1[[#This Row],[AB]]-표1[[#This Row],[H]]+표1[[#This Row],[SAC]]+표1[[#This Row],[SF]]+표1[[#This Row],[CS]]+표1[[#This Row],[GDP]])/27)</f>
        <v>7.5540697228961813</v>
      </c>
      <c r="AL47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0.38327622377622372</v>
      </c>
      <c r="AM47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98.162000000000006</v>
      </c>
    </row>
    <row r="472" spans="1:39" x14ac:dyDescent="0.3">
      <c r="A472" t="str">
        <f>_xlfn.CONCAT(표1[[#This Row],[Year]],표1[[#This Row],[Player]])</f>
        <v>2013김현수</v>
      </c>
      <c r="B472">
        <v>2013</v>
      </c>
      <c r="C472">
        <v>14</v>
      </c>
      <c r="D472" t="s">
        <v>98</v>
      </c>
      <c r="E472" t="s">
        <v>1</v>
      </c>
      <c r="F472">
        <v>0.30199999999999999</v>
      </c>
      <c r="G472">
        <v>122</v>
      </c>
      <c r="H472">
        <v>510</v>
      </c>
      <c r="I472">
        <v>434</v>
      </c>
      <c r="J472">
        <v>63</v>
      </c>
      <c r="K472">
        <v>131</v>
      </c>
      <c r="L472">
        <f>표1[[#This Row],[H]]-표1[[#This Row],[2B]]-표1[[#This Row],[3B]]-표1[[#This Row],[HR]]</f>
        <v>91</v>
      </c>
      <c r="M472">
        <v>23</v>
      </c>
      <c r="N472">
        <v>1</v>
      </c>
      <c r="O472">
        <v>16</v>
      </c>
      <c r="P472">
        <v>204</v>
      </c>
      <c r="Q472">
        <v>90</v>
      </c>
      <c r="R472">
        <v>0</v>
      </c>
      <c r="S472">
        <v>12</v>
      </c>
      <c r="T472">
        <v>62</v>
      </c>
      <c r="U472">
        <v>10</v>
      </c>
      <c r="V472">
        <v>2</v>
      </c>
      <c r="W472">
        <v>4</v>
      </c>
      <c r="X472">
        <v>2</v>
      </c>
      <c r="Y472">
        <v>71</v>
      </c>
      <c r="Z472">
        <v>6</v>
      </c>
      <c r="AA472">
        <v>0.47</v>
      </c>
      <c r="AB472">
        <v>0.38200000000000001</v>
      </c>
      <c r="AC472">
        <v>0.85199999999999998</v>
      </c>
      <c r="AD472">
        <v>39</v>
      </c>
      <c r="AE472">
        <v>0.34300000000000003</v>
      </c>
      <c r="AF472">
        <v>0</v>
      </c>
      <c r="AG472">
        <f>(표1[[#This Row],[TB]]-표1[[#This Row],[H]])/표1[[#This Row],[AB]]</f>
        <v>0.16820276497695852</v>
      </c>
      <c r="AH472">
        <f>(표1[[#This Row],[TB]]-표1[[#This Row],[H]]+표1[[#This Row],[BB]]+표1[[#This Row],[SB]]-표1[[#This Row],[CS]])/표1[[#This Row],[AB]]</f>
        <v>0.30645161290322581</v>
      </c>
      <c r="AI472">
        <f>(표1[[#This Row],[TB]]+표1[[#This Row],[BB]]+표1[[#This Row],[HBP]]+표1[[#This Row],[SB]]-표1[[#This Row],[CS]])/(표1[[#This Row],[AB]]-표1[[#This Row],[H]]+표1[[#This Row],[CS]]+표1[[#This Row],[GDP]])</f>
        <v>0.84984025559105436</v>
      </c>
      <c r="AJ47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81.733725490196079</v>
      </c>
      <c r="AK472">
        <f>표1[[#This Row],[RC]]/((표1[[#This Row],[AB]]-표1[[#This Row],[H]]+표1[[#This Row],[SAC]]+표1[[#This Row],[SF]]+표1[[#This Row],[CS]]+표1[[#This Row],[GDP]])/27)</f>
        <v>6.7901864253393667</v>
      </c>
      <c r="AL47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0.36250399999999994</v>
      </c>
      <c r="AM47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80.462000000000003</v>
      </c>
    </row>
    <row r="473" spans="1:39" x14ac:dyDescent="0.3">
      <c r="A473" t="str">
        <f>_xlfn.CONCAT(표1[[#This Row],[Year]],표1[[#This Row],[Player]])</f>
        <v>2013김강민</v>
      </c>
      <c r="B473">
        <v>2013</v>
      </c>
      <c r="C473">
        <v>15</v>
      </c>
      <c r="D473" t="s">
        <v>123</v>
      </c>
      <c r="E473" t="s">
        <v>8</v>
      </c>
      <c r="F473">
        <v>0.30099999999999999</v>
      </c>
      <c r="G473">
        <v>105</v>
      </c>
      <c r="H473">
        <v>397</v>
      </c>
      <c r="I473">
        <v>352</v>
      </c>
      <c r="J473">
        <v>39</v>
      </c>
      <c r="K473">
        <v>106</v>
      </c>
      <c r="L473">
        <f>표1[[#This Row],[H]]-표1[[#This Row],[2B]]-표1[[#This Row],[3B]]-표1[[#This Row],[HR]]</f>
        <v>71</v>
      </c>
      <c r="M473">
        <v>22</v>
      </c>
      <c r="N473">
        <v>3</v>
      </c>
      <c r="O473">
        <v>10</v>
      </c>
      <c r="P473">
        <v>164</v>
      </c>
      <c r="Q473">
        <v>55</v>
      </c>
      <c r="R473">
        <v>2</v>
      </c>
      <c r="S473">
        <v>3</v>
      </c>
      <c r="T473">
        <v>36</v>
      </c>
      <c r="U473">
        <v>2</v>
      </c>
      <c r="V473">
        <v>10</v>
      </c>
      <c r="W473">
        <v>6</v>
      </c>
      <c r="X473">
        <v>4</v>
      </c>
      <c r="Y473">
        <v>54</v>
      </c>
      <c r="Z473">
        <v>10</v>
      </c>
      <c r="AA473">
        <v>0.46600000000000003</v>
      </c>
      <c r="AB473">
        <v>0.37</v>
      </c>
      <c r="AC473">
        <v>0.83599999999999997</v>
      </c>
      <c r="AD473">
        <v>28</v>
      </c>
      <c r="AE473">
        <v>0.36</v>
      </c>
      <c r="AF473">
        <v>0.25</v>
      </c>
      <c r="AG473">
        <f>(표1[[#This Row],[TB]]-표1[[#This Row],[H]])/표1[[#This Row],[AB]]</f>
        <v>0.16477272727272727</v>
      </c>
      <c r="AH473">
        <f>(표1[[#This Row],[TB]]-표1[[#This Row],[H]]+표1[[#This Row],[BB]]+표1[[#This Row],[SB]]-표1[[#This Row],[CS]])/표1[[#This Row],[AB]]</f>
        <v>0.27840909090909088</v>
      </c>
      <c r="AI473">
        <f>(표1[[#This Row],[TB]]+표1[[#This Row],[BB]]+표1[[#This Row],[HBP]]+표1[[#This Row],[SB]]-표1[[#This Row],[CS]])/(표1[[#This Row],[AB]]-표1[[#This Row],[H]]+표1[[#This Row],[CS]]+표1[[#This Row],[GDP]])</f>
        <v>0.79389312977099236</v>
      </c>
      <c r="AJ47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59.492191435768262</v>
      </c>
      <c r="AK473">
        <f>표1[[#This Row],[RC]]/((표1[[#This Row],[AB]]-표1[[#This Row],[H]]+표1[[#This Row],[SAC]]+표1[[#This Row],[SF]]+표1[[#This Row],[CS]]+표1[[#This Row],[GDP]])/27)</f>
        <v>6.0160643024934197</v>
      </c>
      <c r="AL47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0.36172773536895675</v>
      </c>
      <c r="AM47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57.077999999999989</v>
      </c>
    </row>
    <row r="474" spans="1:39" x14ac:dyDescent="0.3">
      <c r="A474" t="str">
        <f>_xlfn.CONCAT(표1[[#This Row],[Year]],표1[[#This Row],[Player]])</f>
        <v>2013최진행</v>
      </c>
      <c r="B474">
        <v>2013</v>
      </c>
      <c r="C474">
        <v>16</v>
      </c>
      <c r="D474" t="s">
        <v>133</v>
      </c>
      <c r="E474" t="s">
        <v>11</v>
      </c>
      <c r="F474">
        <v>0.3</v>
      </c>
      <c r="G474">
        <v>106</v>
      </c>
      <c r="H474">
        <v>422</v>
      </c>
      <c r="I474">
        <v>367</v>
      </c>
      <c r="J474">
        <v>39</v>
      </c>
      <c r="K474">
        <v>110</v>
      </c>
      <c r="L474">
        <f>표1[[#This Row],[H]]-표1[[#This Row],[2B]]-표1[[#This Row],[3B]]-표1[[#This Row],[HR]]</f>
        <v>75</v>
      </c>
      <c r="M474">
        <v>27</v>
      </c>
      <c r="N474">
        <v>0</v>
      </c>
      <c r="O474">
        <v>8</v>
      </c>
      <c r="P474">
        <v>161</v>
      </c>
      <c r="Q474">
        <v>53</v>
      </c>
      <c r="R474">
        <v>1</v>
      </c>
      <c r="S474">
        <v>1</v>
      </c>
      <c r="T474">
        <v>50</v>
      </c>
      <c r="U474">
        <v>1</v>
      </c>
      <c r="V474">
        <v>0</v>
      </c>
      <c r="W474">
        <v>0</v>
      </c>
      <c r="X474">
        <v>3</v>
      </c>
      <c r="Y474">
        <v>86</v>
      </c>
      <c r="Z474">
        <v>18</v>
      </c>
      <c r="AA474">
        <v>0.439</v>
      </c>
      <c r="AB474">
        <v>0.38700000000000001</v>
      </c>
      <c r="AC474">
        <v>0.82599999999999996</v>
      </c>
      <c r="AD474">
        <v>23</v>
      </c>
      <c r="AE474">
        <v>0.29699999999999999</v>
      </c>
      <c r="AF474">
        <v>0.2</v>
      </c>
      <c r="AG474">
        <f>(표1[[#This Row],[TB]]-표1[[#This Row],[H]])/표1[[#This Row],[AB]]</f>
        <v>0.13896457765667575</v>
      </c>
      <c r="AH474">
        <f>(표1[[#This Row],[TB]]-표1[[#This Row],[H]]+표1[[#This Row],[BB]]+표1[[#This Row],[SB]]-표1[[#This Row],[CS]])/표1[[#This Row],[AB]]</f>
        <v>0.27520435967302453</v>
      </c>
      <c r="AI474">
        <f>(표1[[#This Row],[TB]]+표1[[#This Row],[BB]]+표1[[#This Row],[HBP]]+표1[[#This Row],[SB]]-표1[[#This Row],[CS]])/(표1[[#This Row],[AB]]-표1[[#This Row],[H]]+표1[[#This Row],[CS]]+표1[[#This Row],[GDP]])</f>
        <v>0.7781818181818182</v>
      </c>
      <c r="AJ47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60.32274881516588</v>
      </c>
      <c r="AK474">
        <f>표1[[#This Row],[RC]]/((표1[[#This Row],[AB]]-표1[[#This Row],[H]]+표1[[#This Row],[SAC]]+표1[[#This Row],[SF]]+표1[[#This Row],[CS]]+표1[[#This Row],[GDP]])/27)</f>
        <v>5.8798347220558798</v>
      </c>
      <c r="AL47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0.3636380952380952</v>
      </c>
      <c r="AM47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56.321999999999989</v>
      </c>
    </row>
    <row r="475" spans="1:39" x14ac:dyDescent="0.3">
      <c r="A475" t="str">
        <f>_xlfn.CONCAT(표1[[#This Row],[Year]],표1[[#This Row],[Player]])</f>
        <v>2013홍성흔</v>
      </c>
      <c r="B475">
        <v>2013</v>
      </c>
      <c r="C475">
        <v>17</v>
      </c>
      <c r="D475" t="s">
        <v>49</v>
      </c>
      <c r="E475" t="s">
        <v>1</v>
      </c>
      <c r="F475">
        <v>0.29899999999999999</v>
      </c>
      <c r="G475">
        <v>127</v>
      </c>
      <c r="H475">
        <v>538</v>
      </c>
      <c r="I475">
        <v>469</v>
      </c>
      <c r="J475">
        <v>61</v>
      </c>
      <c r="K475">
        <v>140</v>
      </c>
      <c r="L475">
        <f>표1[[#This Row],[H]]-표1[[#This Row],[2B]]-표1[[#This Row],[3B]]-표1[[#This Row],[HR]]</f>
        <v>104</v>
      </c>
      <c r="M475">
        <v>21</v>
      </c>
      <c r="N475">
        <v>0</v>
      </c>
      <c r="O475">
        <v>15</v>
      </c>
      <c r="P475">
        <v>206</v>
      </c>
      <c r="Q475">
        <v>72</v>
      </c>
      <c r="R475">
        <v>3</v>
      </c>
      <c r="S475">
        <v>3</v>
      </c>
      <c r="T475">
        <v>57</v>
      </c>
      <c r="U475">
        <v>0</v>
      </c>
      <c r="V475">
        <v>5</v>
      </c>
      <c r="W475">
        <v>3</v>
      </c>
      <c r="X475">
        <v>6</v>
      </c>
      <c r="Y475">
        <v>93</v>
      </c>
      <c r="Z475">
        <v>15</v>
      </c>
      <c r="AA475">
        <v>0.439</v>
      </c>
      <c r="AB475">
        <v>0.379</v>
      </c>
      <c r="AC475">
        <v>0.81799999999999995</v>
      </c>
      <c r="AD475">
        <v>38</v>
      </c>
      <c r="AE475">
        <v>0.29699999999999999</v>
      </c>
      <c r="AF475">
        <v>0.33300000000000002</v>
      </c>
      <c r="AG475">
        <f>(표1[[#This Row],[TB]]-표1[[#This Row],[H]])/표1[[#This Row],[AB]]</f>
        <v>0.14072494669509594</v>
      </c>
      <c r="AH475">
        <f>(표1[[#This Row],[TB]]-표1[[#This Row],[H]]+표1[[#This Row],[BB]]+표1[[#This Row],[SB]]-표1[[#This Row],[CS]])/표1[[#This Row],[AB]]</f>
        <v>0.26652452025586354</v>
      </c>
      <c r="AI475">
        <f>(표1[[#This Row],[TB]]+표1[[#This Row],[BB]]+표1[[#This Row],[HBP]]+표1[[#This Row],[SB]]-표1[[#This Row],[CS]])/(표1[[#This Row],[AB]]-표1[[#This Row],[H]]+표1[[#This Row],[CS]]+표1[[#This Row],[GDP]])</f>
        <v>0.78097982708933722</v>
      </c>
      <c r="AJ47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78.435873605947961</v>
      </c>
      <c r="AK475">
        <f>표1[[#This Row],[RC]]/((표1[[#This Row],[AB]]-표1[[#This Row],[H]]+표1[[#This Row],[SAC]]+표1[[#This Row],[SF]]+표1[[#This Row],[CS]]+표1[[#This Row],[GDP]])/27)</f>
        <v>5.9993444401149993</v>
      </c>
      <c r="AL47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0.36060186915887849</v>
      </c>
      <c r="AM47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75.40600000000002</v>
      </c>
    </row>
    <row r="476" spans="1:39" x14ac:dyDescent="0.3">
      <c r="A476" t="str">
        <f>_xlfn.CONCAT(표1[[#This Row],[Year]],표1[[#This Row],[Player]])</f>
        <v>2013김상수</v>
      </c>
      <c r="B476">
        <v>2013</v>
      </c>
      <c r="C476">
        <v>18</v>
      </c>
      <c r="D476" t="s">
        <v>139</v>
      </c>
      <c r="E476" t="s">
        <v>6</v>
      </c>
      <c r="F476">
        <v>0.29799999999999999</v>
      </c>
      <c r="G476">
        <v>115</v>
      </c>
      <c r="H476">
        <v>422</v>
      </c>
      <c r="I476">
        <v>372</v>
      </c>
      <c r="J476">
        <v>57</v>
      </c>
      <c r="K476">
        <v>111</v>
      </c>
      <c r="L476">
        <f>표1[[#This Row],[H]]-표1[[#This Row],[2B]]-표1[[#This Row],[3B]]-표1[[#This Row],[HR]]</f>
        <v>84</v>
      </c>
      <c r="M476">
        <v>17</v>
      </c>
      <c r="N476">
        <v>3</v>
      </c>
      <c r="O476">
        <v>7</v>
      </c>
      <c r="P476">
        <v>155</v>
      </c>
      <c r="Q476">
        <v>44</v>
      </c>
      <c r="R476">
        <v>9</v>
      </c>
      <c r="S476">
        <v>6</v>
      </c>
      <c r="T476">
        <v>30</v>
      </c>
      <c r="U476">
        <v>1</v>
      </c>
      <c r="V476">
        <v>14</v>
      </c>
      <c r="W476">
        <v>5</v>
      </c>
      <c r="X476">
        <v>5</v>
      </c>
      <c r="Y476">
        <v>44</v>
      </c>
      <c r="Z476">
        <v>7</v>
      </c>
      <c r="AA476">
        <v>0.41699999999999998</v>
      </c>
      <c r="AB476">
        <v>0.35399999999999998</v>
      </c>
      <c r="AC476">
        <v>0.77100000000000002</v>
      </c>
      <c r="AD476">
        <v>33</v>
      </c>
      <c r="AE476">
        <v>0.28599999999999998</v>
      </c>
      <c r="AF476">
        <v>0</v>
      </c>
      <c r="AG476">
        <f>(표1[[#This Row],[TB]]-표1[[#This Row],[H]])/표1[[#This Row],[AB]]</f>
        <v>0.11827956989247312</v>
      </c>
      <c r="AH476">
        <f>(표1[[#This Row],[TB]]-표1[[#This Row],[H]]+표1[[#This Row],[BB]]+표1[[#This Row],[SB]]-표1[[#This Row],[CS]])/표1[[#This Row],[AB]]</f>
        <v>0.22311827956989247</v>
      </c>
      <c r="AI476">
        <f>(표1[[#This Row],[TB]]+표1[[#This Row],[BB]]+표1[[#This Row],[HBP]]+표1[[#This Row],[SB]]-표1[[#This Row],[CS]])/(표1[[#This Row],[AB]]-표1[[#This Row],[H]]+표1[[#This Row],[CS]]+표1[[#This Row],[GDP]])</f>
        <v>0.7289377289377289</v>
      </c>
      <c r="AJ47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56.813459715639816</v>
      </c>
      <c r="AK476">
        <f>표1[[#This Row],[RC]]/((표1[[#This Row],[AB]]-표1[[#This Row],[H]]+표1[[#This Row],[SAC]]+표1[[#This Row],[SF]]+표1[[#This Row],[CS]]+표1[[#This Row],[GDP]])/27)</f>
        <v>5.3262618483412334</v>
      </c>
      <c r="AL47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0.33606553398058253</v>
      </c>
      <c r="AM47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56.318000000000012</v>
      </c>
    </row>
    <row r="477" spans="1:39" x14ac:dyDescent="0.3">
      <c r="A477" t="str">
        <f>_xlfn.CONCAT(표1[[#This Row],[Year]],표1[[#This Row],[Player]])</f>
        <v>2013배영섭</v>
      </c>
      <c r="B477">
        <v>2013</v>
      </c>
      <c r="C477">
        <v>19</v>
      </c>
      <c r="D477" t="s">
        <v>146</v>
      </c>
      <c r="E477" t="s">
        <v>6</v>
      </c>
      <c r="F477">
        <v>0.29499999999999998</v>
      </c>
      <c r="G477">
        <v>113</v>
      </c>
      <c r="H477">
        <v>476</v>
      </c>
      <c r="I477">
        <v>393</v>
      </c>
      <c r="J477">
        <v>66</v>
      </c>
      <c r="K477">
        <v>116</v>
      </c>
      <c r="L477">
        <f>표1[[#This Row],[H]]-표1[[#This Row],[2B]]-표1[[#This Row],[3B]]-표1[[#This Row],[HR]]</f>
        <v>94</v>
      </c>
      <c r="M477">
        <v>16</v>
      </c>
      <c r="N477">
        <v>4</v>
      </c>
      <c r="O477">
        <v>2</v>
      </c>
      <c r="P477">
        <v>146</v>
      </c>
      <c r="Q477">
        <v>38</v>
      </c>
      <c r="R477">
        <v>8</v>
      </c>
      <c r="S477">
        <v>3</v>
      </c>
      <c r="T477">
        <v>52</v>
      </c>
      <c r="U477">
        <v>1</v>
      </c>
      <c r="V477">
        <v>23</v>
      </c>
      <c r="W477">
        <v>10</v>
      </c>
      <c r="X477">
        <v>20</v>
      </c>
      <c r="Y477">
        <v>62</v>
      </c>
      <c r="Z477">
        <v>9</v>
      </c>
      <c r="AA477">
        <v>0.372</v>
      </c>
      <c r="AB477">
        <v>0.40200000000000002</v>
      </c>
      <c r="AC477">
        <v>0.77400000000000002</v>
      </c>
      <c r="AD477">
        <v>34</v>
      </c>
      <c r="AE477">
        <v>0.318</v>
      </c>
      <c r="AF477">
        <v>0.16700000000000001</v>
      </c>
      <c r="AG477">
        <f>(표1[[#This Row],[TB]]-표1[[#This Row],[H]])/표1[[#This Row],[AB]]</f>
        <v>7.6335877862595422E-2</v>
      </c>
      <c r="AH477">
        <f>(표1[[#This Row],[TB]]-표1[[#This Row],[H]]+표1[[#This Row],[BB]]+표1[[#This Row],[SB]]-표1[[#This Row],[CS]])/표1[[#This Row],[AB]]</f>
        <v>0.24173027989821882</v>
      </c>
      <c r="AI477">
        <f>(표1[[#This Row],[TB]]+표1[[#This Row],[BB]]+표1[[#This Row],[HBP]]+표1[[#This Row],[SB]]-표1[[#This Row],[CS]])/(표1[[#This Row],[AB]]-표1[[#This Row],[H]]+표1[[#This Row],[CS]]+표1[[#This Row],[GDP]])</f>
        <v>0.78040540540540537</v>
      </c>
      <c r="AJ47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64.667352941176475</v>
      </c>
      <c r="AK477">
        <f>표1[[#This Row],[RC]]/((표1[[#This Row],[AB]]-표1[[#This Row],[H]]+표1[[#This Row],[SAC]]+표1[[#This Row],[SF]]+표1[[#This Row],[CS]]+표1[[#This Row],[GDP]])/27)</f>
        <v>5.687356773328224</v>
      </c>
      <c r="AL47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0.34984368308351166</v>
      </c>
      <c r="AM47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63.564</v>
      </c>
    </row>
    <row r="478" spans="1:39" x14ac:dyDescent="0.3">
      <c r="A478" t="str">
        <f>_xlfn.CONCAT(표1[[#This Row],[Year]],표1[[#This Row],[Player]])</f>
        <v>2013이용규</v>
      </c>
      <c r="B478">
        <v>2013</v>
      </c>
      <c r="C478">
        <v>20</v>
      </c>
      <c r="D478" t="s">
        <v>74</v>
      </c>
      <c r="E478" t="s">
        <v>13</v>
      </c>
      <c r="F478">
        <v>0.29499999999999998</v>
      </c>
      <c r="G478">
        <v>100</v>
      </c>
      <c r="H478">
        <v>453</v>
      </c>
      <c r="I478">
        <v>390</v>
      </c>
      <c r="J478">
        <v>74</v>
      </c>
      <c r="K478">
        <v>115</v>
      </c>
      <c r="L478">
        <f>표1[[#This Row],[H]]-표1[[#This Row],[2B]]-표1[[#This Row],[3B]]-표1[[#This Row],[HR]]</f>
        <v>92</v>
      </c>
      <c r="M478">
        <v>20</v>
      </c>
      <c r="N478">
        <v>1</v>
      </c>
      <c r="O478">
        <v>2</v>
      </c>
      <c r="P478">
        <v>143</v>
      </c>
      <c r="Q478">
        <v>22</v>
      </c>
      <c r="R478">
        <v>10</v>
      </c>
      <c r="S478">
        <v>2</v>
      </c>
      <c r="T478">
        <v>44</v>
      </c>
      <c r="U478">
        <v>0</v>
      </c>
      <c r="V478">
        <v>21</v>
      </c>
      <c r="W478">
        <v>9</v>
      </c>
      <c r="X478">
        <v>7</v>
      </c>
      <c r="Y478">
        <v>37</v>
      </c>
      <c r="Z478">
        <v>4</v>
      </c>
      <c r="AA478">
        <v>0.36699999999999999</v>
      </c>
      <c r="AB478">
        <v>0.375</v>
      </c>
      <c r="AC478">
        <v>0.74199999999999999</v>
      </c>
      <c r="AD478">
        <v>32</v>
      </c>
      <c r="AE478">
        <v>0.28699999999999998</v>
      </c>
      <c r="AF478">
        <v>0</v>
      </c>
      <c r="AG478">
        <f>(표1[[#This Row],[TB]]-표1[[#This Row],[H]])/표1[[#This Row],[AB]]</f>
        <v>7.179487179487179E-2</v>
      </c>
      <c r="AH478">
        <f>(표1[[#This Row],[TB]]-표1[[#This Row],[H]]+표1[[#This Row],[BB]]+표1[[#This Row],[SB]]-표1[[#This Row],[CS]])/표1[[#This Row],[AB]]</f>
        <v>0.2153846153846154</v>
      </c>
      <c r="AI478">
        <f>(표1[[#This Row],[TB]]+표1[[#This Row],[BB]]+표1[[#This Row],[HBP]]+표1[[#This Row],[SB]]-표1[[#This Row],[CS]])/(표1[[#This Row],[AB]]-표1[[#This Row],[H]]+표1[[#This Row],[CS]]+표1[[#This Row],[GDP]])</f>
        <v>0.71527777777777779</v>
      </c>
      <c r="AJ47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58.572317880794699</v>
      </c>
      <c r="AK478">
        <f>표1[[#This Row],[RC]]/((표1[[#This Row],[AB]]-표1[[#This Row],[H]]+표1[[#This Row],[SAC]]+표1[[#This Row],[SF]]+표1[[#This Row],[CS]]+표1[[#This Row],[GDP]])/27)</f>
        <v>5.2715086092715229</v>
      </c>
      <c r="AL47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0.33326185101580136</v>
      </c>
      <c r="AM47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57.173999999999992</v>
      </c>
    </row>
    <row r="479" spans="1:39" x14ac:dyDescent="0.3">
      <c r="A479" t="str">
        <f>_xlfn.CONCAT(표1[[#This Row],[Year]],표1[[#This Row],[Player]])</f>
        <v>2013박정권</v>
      </c>
      <c r="B479">
        <v>2013</v>
      </c>
      <c r="C479">
        <v>21</v>
      </c>
      <c r="D479" t="s">
        <v>119</v>
      </c>
      <c r="E479" t="s">
        <v>8</v>
      </c>
      <c r="F479">
        <v>0.29199999999999998</v>
      </c>
      <c r="G479">
        <v>110</v>
      </c>
      <c r="H479">
        <v>434</v>
      </c>
      <c r="I479">
        <v>363</v>
      </c>
      <c r="J479">
        <v>56</v>
      </c>
      <c r="K479">
        <v>106</v>
      </c>
      <c r="L479">
        <f>표1[[#This Row],[H]]-표1[[#This Row],[2B]]-표1[[#This Row],[3B]]-표1[[#This Row],[HR]]</f>
        <v>67</v>
      </c>
      <c r="M479">
        <v>20</v>
      </c>
      <c r="N479">
        <v>1</v>
      </c>
      <c r="O479">
        <v>18</v>
      </c>
      <c r="P479">
        <v>182</v>
      </c>
      <c r="Q479">
        <v>70</v>
      </c>
      <c r="R479">
        <v>0</v>
      </c>
      <c r="S479">
        <v>6</v>
      </c>
      <c r="T479">
        <v>64</v>
      </c>
      <c r="U479">
        <v>5</v>
      </c>
      <c r="V479">
        <v>4</v>
      </c>
      <c r="W479">
        <v>4</v>
      </c>
      <c r="X479">
        <v>1</v>
      </c>
      <c r="Y479">
        <v>79</v>
      </c>
      <c r="Z479">
        <v>5</v>
      </c>
      <c r="AA479">
        <v>0.501</v>
      </c>
      <c r="AB479">
        <v>0.39400000000000002</v>
      </c>
      <c r="AC479">
        <v>0.89500000000000002</v>
      </c>
      <c r="AD479">
        <v>25</v>
      </c>
      <c r="AE479">
        <v>0.26200000000000001</v>
      </c>
      <c r="AF479">
        <v>0.5</v>
      </c>
      <c r="AG479">
        <f>(표1[[#This Row],[TB]]-표1[[#This Row],[H]])/표1[[#This Row],[AB]]</f>
        <v>0.20936639118457301</v>
      </c>
      <c r="AH479">
        <f>(표1[[#This Row],[TB]]-표1[[#This Row],[H]]+표1[[#This Row],[BB]]+표1[[#This Row],[SB]]-표1[[#This Row],[CS]])/표1[[#This Row],[AB]]</f>
        <v>0.38567493112947659</v>
      </c>
      <c r="AI479">
        <f>(표1[[#This Row],[TB]]+표1[[#This Row],[BB]]+표1[[#This Row],[HBP]]+표1[[#This Row],[SB]]-표1[[#This Row],[CS]])/(표1[[#This Row],[AB]]-표1[[#This Row],[H]]+표1[[#This Row],[CS]]+표1[[#This Row],[GDP]])</f>
        <v>0.9285714285714286</v>
      </c>
      <c r="AJ47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75.69953917050691</v>
      </c>
      <c r="AK479">
        <f>표1[[#This Row],[RC]]/((표1[[#This Row],[AB]]-표1[[#This Row],[H]]+표1[[#This Row],[SAC]]+표1[[#This Row],[SF]]+표1[[#This Row],[CS]]+표1[[#This Row],[GDP]])/27)</f>
        <v>7.514292491190024</v>
      </c>
      <c r="AL47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0.38344055944055938</v>
      </c>
      <c r="AM47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72.558000000000007</v>
      </c>
    </row>
    <row r="480" spans="1:39" x14ac:dyDescent="0.3">
      <c r="A480" t="str">
        <f>_xlfn.CONCAT(표1[[#This Row],[Year]],표1[[#This Row],[Player]])</f>
        <v>2013강정호</v>
      </c>
      <c r="B480">
        <v>2013</v>
      </c>
      <c r="C480">
        <v>22</v>
      </c>
      <c r="D480" t="s">
        <v>106</v>
      </c>
      <c r="E480" t="s">
        <v>125</v>
      </c>
      <c r="F480">
        <v>0.29099999999999998</v>
      </c>
      <c r="G480">
        <v>126</v>
      </c>
      <c r="H480">
        <v>532</v>
      </c>
      <c r="I480">
        <v>450</v>
      </c>
      <c r="J480">
        <v>67</v>
      </c>
      <c r="K480">
        <v>131</v>
      </c>
      <c r="L480">
        <f>표1[[#This Row],[H]]-표1[[#This Row],[2B]]-표1[[#This Row],[3B]]-표1[[#This Row],[HR]]</f>
        <v>87</v>
      </c>
      <c r="M480">
        <v>21</v>
      </c>
      <c r="N480">
        <v>1</v>
      </c>
      <c r="O480">
        <v>22</v>
      </c>
      <c r="P480">
        <v>220</v>
      </c>
      <c r="Q480">
        <v>96</v>
      </c>
      <c r="R480">
        <v>2</v>
      </c>
      <c r="S480">
        <v>6</v>
      </c>
      <c r="T480">
        <v>68</v>
      </c>
      <c r="U480">
        <v>3</v>
      </c>
      <c r="V480">
        <v>15</v>
      </c>
      <c r="W480">
        <v>8</v>
      </c>
      <c r="X480">
        <v>6</v>
      </c>
      <c r="Y480">
        <v>109</v>
      </c>
      <c r="Z480">
        <v>18</v>
      </c>
      <c r="AA480">
        <v>0.48899999999999999</v>
      </c>
      <c r="AB480">
        <v>0.38700000000000001</v>
      </c>
      <c r="AC480">
        <v>0.876</v>
      </c>
      <c r="AD480">
        <v>35</v>
      </c>
      <c r="AE480">
        <v>0.32800000000000001</v>
      </c>
      <c r="AF480">
        <v>0</v>
      </c>
      <c r="AG480">
        <f>(표1[[#This Row],[TB]]-표1[[#This Row],[H]])/표1[[#This Row],[AB]]</f>
        <v>0.19777777777777777</v>
      </c>
      <c r="AH480">
        <f>(표1[[#This Row],[TB]]-표1[[#This Row],[H]]+표1[[#This Row],[BB]]+표1[[#This Row],[SB]]-표1[[#This Row],[CS]])/표1[[#This Row],[AB]]</f>
        <v>0.36444444444444446</v>
      </c>
      <c r="AI480">
        <f>(표1[[#This Row],[TB]]+표1[[#This Row],[BB]]+표1[[#This Row],[HBP]]+표1[[#This Row],[SB]]-표1[[#This Row],[CS]])/(표1[[#This Row],[AB]]-표1[[#This Row],[H]]+표1[[#This Row],[CS]]+표1[[#This Row],[GDP]])</f>
        <v>0.87246376811594206</v>
      </c>
      <c r="AJ48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84.257857142857148</v>
      </c>
      <c r="AK480">
        <f>표1[[#This Row],[RC]]/((표1[[#This Row],[AB]]-표1[[#This Row],[H]]+표1[[#This Row],[SAC]]+표1[[#This Row],[SF]]+표1[[#This Row],[CS]]+표1[[#This Row],[GDP]])/27)</f>
        <v>6.44465196276811</v>
      </c>
      <c r="AL48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0.37840796963946866</v>
      </c>
      <c r="AM48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82.428000000000011</v>
      </c>
    </row>
    <row r="481" spans="1:39" x14ac:dyDescent="0.3">
      <c r="A481" t="str">
        <f>_xlfn.CONCAT(표1[[#This Row],[Year]],표1[[#This Row],[Player]])</f>
        <v>2013나지완</v>
      </c>
      <c r="B481">
        <v>2013</v>
      </c>
      <c r="C481">
        <v>23</v>
      </c>
      <c r="D481" t="s">
        <v>120</v>
      </c>
      <c r="E481" t="s">
        <v>13</v>
      </c>
      <c r="F481">
        <v>0.28699999999999998</v>
      </c>
      <c r="G481">
        <v>125</v>
      </c>
      <c r="H481">
        <v>522</v>
      </c>
      <c r="I481">
        <v>435</v>
      </c>
      <c r="J481">
        <v>57</v>
      </c>
      <c r="K481">
        <v>125</v>
      </c>
      <c r="L481">
        <f>표1[[#This Row],[H]]-표1[[#This Row],[2B]]-표1[[#This Row],[3B]]-표1[[#This Row],[HR]]</f>
        <v>86</v>
      </c>
      <c r="M481">
        <v>18</v>
      </c>
      <c r="N481">
        <v>0</v>
      </c>
      <c r="O481">
        <v>21</v>
      </c>
      <c r="P481">
        <v>206</v>
      </c>
      <c r="Q481">
        <v>96</v>
      </c>
      <c r="R481">
        <v>1</v>
      </c>
      <c r="S481">
        <v>5</v>
      </c>
      <c r="T481">
        <v>62</v>
      </c>
      <c r="U481">
        <v>1</v>
      </c>
      <c r="V481">
        <v>7</v>
      </c>
      <c r="W481">
        <v>3</v>
      </c>
      <c r="X481">
        <v>18</v>
      </c>
      <c r="Y481">
        <v>111</v>
      </c>
      <c r="Z481">
        <v>12</v>
      </c>
      <c r="AA481">
        <v>0.47399999999999998</v>
      </c>
      <c r="AB481">
        <v>0.39400000000000002</v>
      </c>
      <c r="AC481">
        <v>0.86799999999999999</v>
      </c>
      <c r="AD481">
        <v>35</v>
      </c>
      <c r="AE481">
        <v>0.31</v>
      </c>
      <c r="AF481">
        <v>0</v>
      </c>
      <c r="AG481">
        <f>(표1[[#This Row],[TB]]-표1[[#This Row],[H]])/표1[[#This Row],[AB]]</f>
        <v>0.18620689655172415</v>
      </c>
      <c r="AH481">
        <f>(표1[[#This Row],[TB]]-표1[[#This Row],[H]]+표1[[#This Row],[BB]]+표1[[#This Row],[SB]]-표1[[#This Row],[CS]])/표1[[#This Row],[AB]]</f>
        <v>0.33793103448275863</v>
      </c>
      <c r="AI481">
        <f>(표1[[#This Row],[TB]]+표1[[#This Row],[BB]]+표1[[#This Row],[HBP]]+표1[[#This Row],[SB]]-표1[[#This Row],[CS]])/(표1[[#This Row],[AB]]-표1[[#This Row],[H]]+표1[[#This Row],[CS]]+표1[[#This Row],[GDP]])</f>
        <v>0.89230769230769236</v>
      </c>
      <c r="AJ48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85.0806142034549</v>
      </c>
      <c r="AK481">
        <f>표1[[#This Row],[RC]]/((표1[[#This Row],[AB]]-표1[[#This Row],[H]]+표1[[#This Row],[SAC]]+표1[[#This Row],[SF]]+표1[[#This Row],[CS]]+표1[[#This Row],[GDP]])/27)</f>
        <v>6.9401105241488885</v>
      </c>
      <c r="AL48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0.37960500963391136</v>
      </c>
      <c r="AM48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82.27200000000002</v>
      </c>
    </row>
    <row r="482" spans="1:39" x14ac:dyDescent="0.3">
      <c r="A482" t="str">
        <f>_xlfn.CONCAT(표1[[#This Row],[Year]],표1[[#This Row],[Player]])</f>
        <v>2013이택근</v>
      </c>
      <c r="B482">
        <v>2013</v>
      </c>
      <c r="C482">
        <v>24</v>
      </c>
      <c r="D482" t="s">
        <v>77</v>
      </c>
      <c r="E482" t="s">
        <v>125</v>
      </c>
      <c r="F482">
        <v>0.28699999999999998</v>
      </c>
      <c r="G482">
        <v>123</v>
      </c>
      <c r="H482">
        <v>536</v>
      </c>
      <c r="I482">
        <v>477</v>
      </c>
      <c r="J482">
        <v>73</v>
      </c>
      <c r="K482">
        <v>137</v>
      </c>
      <c r="L482">
        <f>표1[[#This Row],[H]]-표1[[#This Row],[2B]]-표1[[#This Row],[3B]]-표1[[#This Row],[HR]]</f>
        <v>96</v>
      </c>
      <c r="M482">
        <v>31</v>
      </c>
      <c r="N482">
        <v>1</v>
      </c>
      <c r="O482">
        <v>9</v>
      </c>
      <c r="P482">
        <v>197</v>
      </c>
      <c r="Q482">
        <v>66</v>
      </c>
      <c r="R482">
        <v>6</v>
      </c>
      <c r="S482">
        <v>7</v>
      </c>
      <c r="T482">
        <v>39</v>
      </c>
      <c r="U482">
        <v>1</v>
      </c>
      <c r="V482">
        <v>29</v>
      </c>
      <c r="W482">
        <v>8</v>
      </c>
      <c r="X482">
        <v>7</v>
      </c>
      <c r="Y482">
        <v>58</v>
      </c>
      <c r="Z482">
        <v>15</v>
      </c>
      <c r="AA482">
        <v>0.41299999999999998</v>
      </c>
      <c r="AB482">
        <v>0.34499999999999997</v>
      </c>
      <c r="AC482">
        <v>0.75800000000000001</v>
      </c>
      <c r="AD482">
        <v>38</v>
      </c>
      <c r="AE482">
        <v>0.29499999999999998</v>
      </c>
      <c r="AF482">
        <v>0</v>
      </c>
      <c r="AG482">
        <f>(표1[[#This Row],[TB]]-표1[[#This Row],[H]])/표1[[#This Row],[AB]]</f>
        <v>0.12578616352201258</v>
      </c>
      <c r="AH482">
        <f>(표1[[#This Row],[TB]]-표1[[#This Row],[H]]+표1[[#This Row],[BB]]+표1[[#This Row],[SB]]-표1[[#This Row],[CS]])/표1[[#This Row],[AB]]</f>
        <v>0.25157232704402516</v>
      </c>
      <c r="AI482">
        <f>(표1[[#This Row],[TB]]+표1[[#This Row],[BB]]+표1[[#This Row],[HBP]]+표1[[#This Row],[SB]]-표1[[#This Row],[CS]])/(표1[[#This Row],[AB]]-표1[[#This Row],[H]]+표1[[#This Row],[CS]]+표1[[#This Row],[GDP]])</f>
        <v>0.72727272727272729</v>
      </c>
      <c r="AJ48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68.817910447761193</v>
      </c>
      <c r="AK482">
        <f>표1[[#This Row],[RC]]/((표1[[#This Row],[AB]]-표1[[#This Row],[H]]+표1[[#This Row],[SAC]]+표1[[#This Row],[SF]]+표1[[#This Row],[CS]]+표1[[#This Row],[GDP]])/27)</f>
        <v>4.9417116544934903</v>
      </c>
      <c r="AL48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0.33130056710775041</v>
      </c>
      <c r="AM48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68.745999999999995</v>
      </c>
    </row>
    <row r="483" spans="1:39" x14ac:dyDescent="0.3">
      <c r="A483" t="str">
        <f>_xlfn.CONCAT(표1[[#This Row],[Year]],표1[[#This Row],[Player]])</f>
        <v>2013정현석</v>
      </c>
      <c r="B483">
        <v>2013</v>
      </c>
      <c r="C483">
        <v>25</v>
      </c>
      <c r="D483" t="s">
        <v>149</v>
      </c>
      <c r="E483" t="s">
        <v>11</v>
      </c>
      <c r="F483">
        <v>0.28699999999999998</v>
      </c>
      <c r="G483">
        <v>121</v>
      </c>
      <c r="H483">
        <v>403</v>
      </c>
      <c r="I483">
        <v>356</v>
      </c>
      <c r="J483">
        <v>47</v>
      </c>
      <c r="K483">
        <v>102</v>
      </c>
      <c r="L483">
        <f>표1[[#This Row],[H]]-표1[[#This Row],[2B]]-표1[[#This Row],[3B]]-표1[[#This Row],[HR]]</f>
        <v>82</v>
      </c>
      <c r="M483">
        <v>15</v>
      </c>
      <c r="N483">
        <v>1</v>
      </c>
      <c r="O483">
        <v>4</v>
      </c>
      <c r="P483">
        <v>131</v>
      </c>
      <c r="Q483">
        <v>27</v>
      </c>
      <c r="R483">
        <v>3</v>
      </c>
      <c r="S483">
        <v>0</v>
      </c>
      <c r="T483">
        <v>37</v>
      </c>
      <c r="U483">
        <v>1</v>
      </c>
      <c r="V483">
        <v>4</v>
      </c>
      <c r="W483">
        <v>5</v>
      </c>
      <c r="X483">
        <v>7</v>
      </c>
      <c r="Y483">
        <v>64</v>
      </c>
      <c r="Z483">
        <v>14</v>
      </c>
      <c r="AA483">
        <v>0.36799999999999999</v>
      </c>
      <c r="AB483">
        <v>0.36499999999999999</v>
      </c>
      <c r="AC483">
        <v>0.73299999999999998</v>
      </c>
      <c r="AD483">
        <v>22</v>
      </c>
      <c r="AE483">
        <v>0.22700000000000001</v>
      </c>
      <c r="AF483">
        <v>0.182</v>
      </c>
      <c r="AG483">
        <f>(표1[[#This Row],[TB]]-표1[[#This Row],[H]])/표1[[#This Row],[AB]]</f>
        <v>8.1460674157303375E-2</v>
      </c>
      <c r="AH483">
        <f>(표1[[#This Row],[TB]]-표1[[#This Row],[H]]+표1[[#This Row],[BB]]+표1[[#This Row],[SB]]-표1[[#This Row],[CS]])/표1[[#This Row],[AB]]</f>
        <v>0.18258426966292135</v>
      </c>
      <c r="AI483">
        <f>(표1[[#This Row],[TB]]+표1[[#This Row],[BB]]+표1[[#This Row],[HBP]]+표1[[#This Row],[SB]]-표1[[#This Row],[CS]])/(표1[[#This Row],[AB]]-표1[[#This Row],[H]]+표1[[#This Row],[CS]]+표1[[#This Row],[GDP]])</f>
        <v>0.63736263736263732</v>
      </c>
      <c r="AJ48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45.953200992555828</v>
      </c>
      <c r="AK483">
        <f>표1[[#This Row],[RC]]/((표1[[#This Row],[AB]]-표1[[#This Row],[H]]+표1[[#This Row],[SAC]]+표1[[#This Row],[SF]]+표1[[#This Row],[CS]]+표1[[#This Row],[GDP]])/27)</f>
        <v>4.4954218362282878</v>
      </c>
      <c r="AL48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0.32856641604010028</v>
      </c>
      <c r="AM48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44.157999999999994</v>
      </c>
    </row>
    <row r="484" spans="1:39" x14ac:dyDescent="0.3">
      <c r="A484" t="str">
        <f>_xlfn.CONCAT(표1[[#This Row],[Year]],표1[[#This Row],[Player]])</f>
        <v>2013박한이</v>
      </c>
      <c r="B484">
        <v>2013</v>
      </c>
      <c r="C484">
        <v>26</v>
      </c>
      <c r="D484" t="s">
        <v>9</v>
      </c>
      <c r="E484" t="s">
        <v>6</v>
      </c>
      <c r="F484">
        <v>0.28399999999999997</v>
      </c>
      <c r="G484">
        <v>112</v>
      </c>
      <c r="H484">
        <v>466</v>
      </c>
      <c r="I484">
        <v>394</v>
      </c>
      <c r="J484">
        <v>56</v>
      </c>
      <c r="K484">
        <v>112</v>
      </c>
      <c r="L484">
        <f>표1[[#This Row],[H]]-표1[[#This Row],[2B]]-표1[[#This Row],[3B]]-표1[[#This Row],[HR]]</f>
        <v>91</v>
      </c>
      <c r="M484">
        <v>12</v>
      </c>
      <c r="N484">
        <v>3</v>
      </c>
      <c r="O484">
        <v>6</v>
      </c>
      <c r="P484">
        <v>148</v>
      </c>
      <c r="Q484">
        <v>55</v>
      </c>
      <c r="R484">
        <v>18</v>
      </c>
      <c r="S484">
        <v>2</v>
      </c>
      <c r="T484">
        <v>51</v>
      </c>
      <c r="U484">
        <v>0</v>
      </c>
      <c r="V484">
        <v>4</v>
      </c>
      <c r="W484">
        <v>4</v>
      </c>
      <c r="X484">
        <v>1</v>
      </c>
      <c r="Y484">
        <v>74</v>
      </c>
      <c r="Z484">
        <v>5</v>
      </c>
      <c r="AA484">
        <v>0.376</v>
      </c>
      <c r="AB484">
        <v>0.36599999999999999</v>
      </c>
      <c r="AC484">
        <v>0.74199999999999999</v>
      </c>
      <c r="AD484">
        <v>31</v>
      </c>
      <c r="AE484">
        <v>0.33300000000000002</v>
      </c>
      <c r="AF484">
        <v>1</v>
      </c>
      <c r="AG484">
        <f>(표1[[#This Row],[TB]]-표1[[#This Row],[H]])/표1[[#This Row],[AB]]</f>
        <v>9.1370558375634514E-2</v>
      </c>
      <c r="AH484">
        <f>(표1[[#This Row],[TB]]-표1[[#This Row],[H]]+표1[[#This Row],[BB]]+표1[[#This Row],[SB]]-표1[[#This Row],[CS]])/표1[[#This Row],[AB]]</f>
        <v>0.22081218274111675</v>
      </c>
      <c r="AI484">
        <f>(표1[[#This Row],[TB]]+표1[[#This Row],[BB]]+표1[[#This Row],[HBP]]+표1[[#This Row],[SB]]-표1[[#This Row],[CS]])/(표1[[#This Row],[AB]]-표1[[#This Row],[H]]+표1[[#This Row],[CS]]+표1[[#This Row],[GDP]])</f>
        <v>0.6872852233676976</v>
      </c>
      <c r="AJ48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57.875536480686698</v>
      </c>
      <c r="AK484">
        <f>표1[[#This Row],[RC]]/((표1[[#This Row],[AB]]-표1[[#This Row],[H]]+표1[[#This Row],[SAC]]+표1[[#This Row],[SF]]+표1[[#This Row],[CS]]+표1[[#This Row],[GDP]])/27)</f>
        <v>5.02456426038116</v>
      </c>
      <c r="AL48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0.33173660714285713</v>
      </c>
      <c r="AM48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56.658000000000008</v>
      </c>
    </row>
    <row r="485" spans="1:39" x14ac:dyDescent="0.3">
      <c r="A485" t="str">
        <f>_xlfn.CONCAT(표1[[#This Row],[Year]],표1[[#This Row],[Player]])</f>
        <v>2013김민성</v>
      </c>
      <c r="B485">
        <v>2013</v>
      </c>
      <c r="C485">
        <v>27</v>
      </c>
      <c r="D485" t="s">
        <v>150</v>
      </c>
      <c r="E485" t="s">
        <v>125</v>
      </c>
      <c r="F485">
        <v>0.28199999999999997</v>
      </c>
      <c r="G485">
        <v>128</v>
      </c>
      <c r="H485">
        <v>523</v>
      </c>
      <c r="I485">
        <v>458</v>
      </c>
      <c r="J485">
        <v>60</v>
      </c>
      <c r="K485">
        <v>129</v>
      </c>
      <c r="L485">
        <f>표1[[#This Row],[H]]-표1[[#This Row],[2B]]-표1[[#This Row],[3B]]-표1[[#This Row],[HR]]</f>
        <v>88</v>
      </c>
      <c r="M485">
        <v>24</v>
      </c>
      <c r="N485">
        <v>2</v>
      </c>
      <c r="O485">
        <v>15</v>
      </c>
      <c r="P485">
        <v>202</v>
      </c>
      <c r="Q485">
        <v>72</v>
      </c>
      <c r="R485">
        <v>3</v>
      </c>
      <c r="S485">
        <v>4</v>
      </c>
      <c r="T485">
        <v>42</v>
      </c>
      <c r="U485">
        <v>1</v>
      </c>
      <c r="V485">
        <v>7</v>
      </c>
      <c r="W485">
        <v>7</v>
      </c>
      <c r="X485">
        <v>16</v>
      </c>
      <c r="Y485">
        <v>84</v>
      </c>
      <c r="Z485">
        <v>11</v>
      </c>
      <c r="AA485">
        <v>0.441</v>
      </c>
      <c r="AB485">
        <v>0.36</v>
      </c>
      <c r="AC485">
        <v>0.80100000000000005</v>
      </c>
      <c r="AD485">
        <v>31</v>
      </c>
      <c r="AE485">
        <v>0.30099999999999999</v>
      </c>
      <c r="AF485">
        <v>0</v>
      </c>
      <c r="AG485">
        <f>(표1[[#This Row],[TB]]-표1[[#This Row],[H]])/표1[[#This Row],[AB]]</f>
        <v>0.15938864628820962</v>
      </c>
      <c r="AH485">
        <f>(표1[[#This Row],[TB]]-표1[[#This Row],[H]]+표1[[#This Row],[BB]]+표1[[#This Row],[SB]]-표1[[#This Row],[CS]])/표1[[#This Row],[AB]]</f>
        <v>0.25109170305676853</v>
      </c>
      <c r="AI485">
        <f>(표1[[#This Row],[TB]]+표1[[#This Row],[BB]]+표1[[#This Row],[HBP]]+표1[[#This Row],[SB]]-표1[[#This Row],[CS]])/(표1[[#This Row],[AB]]-표1[[#This Row],[H]]+표1[[#This Row],[CS]]+표1[[#This Row],[GDP]])</f>
        <v>0.74927953890489918</v>
      </c>
      <c r="AJ48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72.414722753346084</v>
      </c>
      <c r="AK485">
        <f>표1[[#This Row],[RC]]/((표1[[#This Row],[AB]]-표1[[#This Row],[H]]+표1[[#This Row],[SAC]]+표1[[#This Row],[SF]]+표1[[#This Row],[CS]]+표1[[#This Row],[GDP]])/27)</f>
        <v>5.5231568201704642</v>
      </c>
      <c r="AL48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0.35047976878612719</v>
      </c>
      <c r="AM48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70.858000000000018</v>
      </c>
    </row>
    <row r="486" spans="1:39" x14ac:dyDescent="0.3">
      <c r="A486" t="str">
        <f>_xlfn.CONCAT(표1[[#This Row],[Year]],표1[[#This Row],[Player]])</f>
        <v>2013조영훈</v>
      </c>
      <c r="B486">
        <v>2013</v>
      </c>
      <c r="C486">
        <v>28</v>
      </c>
      <c r="D486" t="s">
        <v>151</v>
      </c>
      <c r="E486" t="s">
        <v>152</v>
      </c>
      <c r="F486">
        <v>0.28199999999999997</v>
      </c>
      <c r="G486">
        <v>120</v>
      </c>
      <c r="H486">
        <v>426</v>
      </c>
      <c r="I486">
        <v>380</v>
      </c>
      <c r="J486">
        <v>38</v>
      </c>
      <c r="K486">
        <v>107</v>
      </c>
      <c r="L486">
        <f>표1[[#This Row],[H]]-표1[[#This Row],[2B]]-표1[[#This Row],[3B]]-표1[[#This Row],[HR]]</f>
        <v>72</v>
      </c>
      <c r="M486">
        <v>26</v>
      </c>
      <c r="N486">
        <v>3</v>
      </c>
      <c r="O486">
        <v>6</v>
      </c>
      <c r="P486">
        <v>157</v>
      </c>
      <c r="Q486">
        <v>39</v>
      </c>
      <c r="R486">
        <v>3</v>
      </c>
      <c r="S486">
        <v>2</v>
      </c>
      <c r="T486">
        <v>39</v>
      </c>
      <c r="U486">
        <v>1</v>
      </c>
      <c r="V486">
        <v>4</v>
      </c>
      <c r="W486">
        <v>5</v>
      </c>
      <c r="X486">
        <v>2</v>
      </c>
      <c r="Y486">
        <v>56</v>
      </c>
      <c r="Z486">
        <v>6</v>
      </c>
      <c r="AA486">
        <v>0.41299999999999998</v>
      </c>
      <c r="AB486">
        <v>0.35</v>
      </c>
      <c r="AC486">
        <v>0.76300000000000001</v>
      </c>
      <c r="AD486">
        <v>27</v>
      </c>
      <c r="AE486">
        <v>0.248</v>
      </c>
      <c r="AF486">
        <v>0.27300000000000002</v>
      </c>
      <c r="AG486">
        <f>(표1[[#This Row],[TB]]-표1[[#This Row],[H]])/표1[[#This Row],[AB]]</f>
        <v>0.13157894736842105</v>
      </c>
      <c r="AH486">
        <f>(표1[[#This Row],[TB]]-표1[[#This Row],[H]]+표1[[#This Row],[BB]]+표1[[#This Row],[SB]]-표1[[#This Row],[CS]])/표1[[#This Row],[AB]]</f>
        <v>0.23157894736842105</v>
      </c>
      <c r="AI486">
        <f>(표1[[#This Row],[TB]]+표1[[#This Row],[BB]]+표1[[#This Row],[HBP]]+표1[[#This Row],[SB]]-표1[[#This Row],[CS]])/(표1[[#This Row],[AB]]-표1[[#This Row],[H]]+표1[[#This Row],[CS]]+표1[[#This Row],[GDP]])</f>
        <v>0.69366197183098588</v>
      </c>
      <c r="AJ48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55.340281690140849</v>
      </c>
      <c r="AK486">
        <f>표1[[#This Row],[RC]]/((표1[[#This Row],[AB]]-표1[[#This Row],[H]]+표1[[#This Row],[SAC]]+표1[[#This Row],[SF]]+표1[[#This Row],[CS]]+표1[[#This Row],[GDP]])/27)</f>
        <v>5.1701993274526048</v>
      </c>
      <c r="AL48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0.33449999999999996</v>
      </c>
      <c r="AM48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53.071999999999989</v>
      </c>
    </row>
    <row r="487" spans="1:39" x14ac:dyDescent="0.3">
      <c r="A487" t="str">
        <f>_xlfn.CONCAT(표1[[#This Row],[Year]],표1[[#This Row],[Player]])</f>
        <v>2013정근우</v>
      </c>
      <c r="B487">
        <v>2013</v>
      </c>
      <c r="C487">
        <v>29</v>
      </c>
      <c r="D487" t="s">
        <v>79</v>
      </c>
      <c r="E487" t="s">
        <v>8</v>
      </c>
      <c r="F487">
        <v>0.28000000000000003</v>
      </c>
      <c r="G487">
        <v>112</v>
      </c>
      <c r="H487">
        <v>476</v>
      </c>
      <c r="I487">
        <v>407</v>
      </c>
      <c r="J487">
        <v>64</v>
      </c>
      <c r="K487">
        <v>114</v>
      </c>
      <c r="L487">
        <f>표1[[#This Row],[H]]-표1[[#This Row],[2B]]-표1[[#This Row],[3B]]-표1[[#This Row],[HR]]</f>
        <v>83</v>
      </c>
      <c r="M487">
        <v>19</v>
      </c>
      <c r="N487">
        <v>3</v>
      </c>
      <c r="O487">
        <v>9</v>
      </c>
      <c r="P487">
        <v>166</v>
      </c>
      <c r="Q487">
        <v>35</v>
      </c>
      <c r="R487">
        <v>11</v>
      </c>
      <c r="S487">
        <v>1</v>
      </c>
      <c r="T487">
        <v>50</v>
      </c>
      <c r="U487">
        <v>6</v>
      </c>
      <c r="V487">
        <v>28</v>
      </c>
      <c r="W487">
        <v>11</v>
      </c>
      <c r="X487">
        <v>7</v>
      </c>
      <c r="Y487">
        <v>48</v>
      </c>
      <c r="Z487">
        <v>6</v>
      </c>
      <c r="AA487">
        <v>0.40799999999999997</v>
      </c>
      <c r="AB487">
        <v>0.36799999999999999</v>
      </c>
      <c r="AC487">
        <v>0.77600000000000002</v>
      </c>
      <c r="AD487">
        <v>30</v>
      </c>
      <c r="AE487">
        <v>0.32100000000000001</v>
      </c>
      <c r="AF487">
        <v>0</v>
      </c>
      <c r="AG487">
        <f>(표1[[#This Row],[TB]]-표1[[#This Row],[H]])/표1[[#This Row],[AB]]</f>
        <v>0.12776412776412777</v>
      </c>
      <c r="AH487">
        <f>(표1[[#This Row],[TB]]-표1[[#This Row],[H]]+표1[[#This Row],[BB]]+표1[[#This Row],[SB]]-표1[[#This Row],[CS]])/표1[[#This Row],[AB]]</f>
        <v>0.29238329238329236</v>
      </c>
      <c r="AI487">
        <f>(표1[[#This Row],[TB]]+표1[[#This Row],[BB]]+표1[[#This Row],[HBP]]+표1[[#This Row],[SB]]-표1[[#This Row],[CS]])/(표1[[#This Row],[AB]]-표1[[#This Row],[H]]+표1[[#This Row],[CS]]+표1[[#This Row],[GDP]])</f>
        <v>0.77419354838709675</v>
      </c>
      <c r="AJ48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64.725294117647067</v>
      </c>
      <c r="AK487">
        <f>표1[[#This Row],[RC]]/((표1[[#This Row],[AB]]-표1[[#This Row],[H]]+표1[[#This Row],[SAC]]+표1[[#This Row],[SF]]+표1[[#This Row],[CS]]+표1[[#This Row],[GDP]])/27)</f>
        <v>5.4272762148337605</v>
      </c>
      <c r="AL48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0.33989978213507621</v>
      </c>
      <c r="AM48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63.45600000000001</v>
      </c>
    </row>
    <row r="488" spans="1:39" x14ac:dyDescent="0.3">
      <c r="A488" t="str">
        <f>_xlfn.CONCAT(표1[[#This Row],[Year]],표1[[#This Row],[Player]])</f>
        <v>2013이호준</v>
      </c>
      <c r="B488">
        <v>2013</v>
      </c>
      <c r="C488">
        <v>30</v>
      </c>
      <c r="D488" t="s">
        <v>27</v>
      </c>
      <c r="E488" t="s">
        <v>152</v>
      </c>
      <c r="F488">
        <v>0.27800000000000002</v>
      </c>
      <c r="G488">
        <v>126</v>
      </c>
      <c r="H488">
        <v>508</v>
      </c>
      <c r="I488">
        <v>442</v>
      </c>
      <c r="J488">
        <v>46</v>
      </c>
      <c r="K488">
        <v>123</v>
      </c>
      <c r="L488">
        <f>표1[[#This Row],[H]]-표1[[#This Row],[2B]]-표1[[#This Row],[3B]]-표1[[#This Row],[HR]]</f>
        <v>77</v>
      </c>
      <c r="M488">
        <v>25</v>
      </c>
      <c r="N488">
        <v>1</v>
      </c>
      <c r="O488">
        <v>20</v>
      </c>
      <c r="P488">
        <v>210</v>
      </c>
      <c r="Q488">
        <v>87</v>
      </c>
      <c r="R488">
        <v>0</v>
      </c>
      <c r="S488">
        <v>5</v>
      </c>
      <c r="T488">
        <v>60</v>
      </c>
      <c r="U488">
        <v>3</v>
      </c>
      <c r="V488">
        <v>2</v>
      </c>
      <c r="W488">
        <v>3</v>
      </c>
      <c r="X488">
        <v>1</v>
      </c>
      <c r="Y488">
        <v>109</v>
      </c>
      <c r="Z488">
        <v>8</v>
      </c>
      <c r="AA488">
        <v>0.47499999999999998</v>
      </c>
      <c r="AB488">
        <v>0.36199999999999999</v>
      </c>
      <c r="AC488">
        <v>0.83699999999999997</v>
      </c>
      <c r="AD488">
        <v>35</v>
      </c>
      <c r="AE488">
        <v>0.35799999999999998</v>
      </c>
      <c r="AF488">
        <v>0</v>
      </c>
      <c r="AG488">
        <f>(표1[[#This Row],[TB]]-표1[[#This Row],[H]])/표1[[#This Row],[AB]]</f>
        <v>0.19683257918552036</v>
      </c>
      <c r="AH488">
        <f>(표1[[#This Row],[TB]]-표1[[#This Row],[H]]+표1[[#This Row],[BB]]+표1[[#This Row],[SB]]-표1[[#This Row],[CS]])/표1[[#This Row],[AB]]</f>
        <v>0.33031674208144796</v>
      </c>
      <c r="AI488">
        <f>(표1[[#This Row],[TB]]+표1[[#This Row],[BB]]+표1[[#This Row],[HBP]]+표1[[#This Row],[SB]]-표1[[#This Row],[CS]])/(표1[[#This Row],[AB]]-표1[[#This Row],[H]]+표1[[#This Row],[CS]]+표1[[#This Row],[GDP]])</f>
        <v>0.81818181818181823</v>
      </c>
      <c r="AJ48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77.890866141732275</v>
      </c>
      <c r="AK488">
        <f>표1[[#This Row],[RC]]/((표1[[#This Row],[AB]]-표1[[#This Row],[H]]+표1[[#This Row],[SAC]]+표1[[#This Row],[SF]]+표1[[#This Row],[CS]]+표1[[#This Row],[GDP]])/27)</f>
        <v>6.2777713009754379</v>
      </c>
      <c r="AL48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0.36109900990099003</v>
      </c>
      <c r="AM48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75.518000000000015</v>
      </c>
    </row>
    <row r="489" spans="1:39" x14ac:dyDescent="0.3">
      <c r="A489" t="str">
        <f>_xlfn.CONCAT(표1[[#This Row],[Year]],표1[[#This Row],[Player]])</f>
        <v>2013김종호</v>
      </c>
      <c r="B489">
        <v>2013</v>
      </c>
      <c r="C489">
        <v>31</v>
      </c>
      <c r="D489" t="s">
        <v>153</v>
      </c>
      <c r="E489" t="s">
        <v>152</v>
      </c>
      <c r="F489">
        <v>0.27700000000000002</v>
      </c>
      <c r="G489">
        <v>128</v>
      </c>
      <c r="H489">
        <v>546</v>
      </c>
      <c r="I489">
        <v>465</v>
      </c>
      <c r="J489">
        <v>72</v>
      </c>
      <c r="K489">
        <v>129</v>
      </c>
      <c r="L489">
        <f>표1[[#This Row],[H]]-표1[[#This Row],[2B]]-표1[[#This Row],[3B]]-표1[[#This Row],[HR]]</f>
        <v>110</v>
      </c>
      <c r="M489">
        <v>12</v>
      </c>
      <c r="N489">
        <v>7</v>
      </c>
      <c r="O489">
        <v>0</v>
      </c>
      <c r="P489">
        <v>155</v>
      </c>
      <c r="Q489">
        <v>22</v>
      </c>
      <c r="R489">
        <v>6</v>
      </c>
      <c r="S489">
        <v>1</v>
      </c>
      <c r="T489">
        <v>57</v>
      </c>
      <c r="U489">
        <v>1</v>
      </c>
      <c r="V489">
        <v>50</v>
      </c>
      <c r="W489">
        <v>14</v>
      </c>
      <c r="X489">
        <v>17</v>
      </c>
      <c r="Y489">
        <v>100</v>
      </c>
      <c r="Z489">
        <v>11</v>
      </c>
      <c r="AA489">
        <v>0.33300000000000002</v>
      </c>
      <c r="AB489">
        <v>0.376</v>
      </c>
      <c r="AC489">
        <v>0.70899999999999996</v>
      </c>
      <c r="AD489">
        <v>30</v>
      </c>
      <c r="AE489">
        <v>0.308</v>
      </c>
      <c r="AF489">
        <v>0</v>
      </c>
      <c r="AG489">
        <f>(표1[[#This Row],[TB]]-표1[[#This Row],[H]])/표1[[#This Row],[AB]]</f>
        <v>5.5913978494623658E-2</v>
      </c>
      <c r="AH489">
        <f>(표1[[#This Row],[TB]]-표1[[#This Row],[H]]+표1[[#This Row],[BB]]+표1[[#This Row],[SB]]-표1[[#This Row],[CS]])/표1[[#This Row],[AB]]</f>
        <v>0.25591397849462366</v>
      </c>
      <c r="AI489">
        <f>(표1[[#This Row],[TB]]+표1[[#This Row],[BB]]+표1[[#This Row],[HBP]]+표1[[#This Row],[SB]]-표1[[#This Row],[CS]])/(표1[[#This Row],[AB]]-표1[[#This Row],[H]]+표1[[#This Row],[CS]]+표1[[#This Row],[GDP]])</f>
        <v>0.73407202216066481</v>
      </c>
      <c r="AJ48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66.381611721611719</v>
      </c>
      <c r="AK489">
        <f>표1[[#This Row],[RC]]/((표1[[#This Row],[AB]]-표1[[#This Row],[H]]+표1[[#This Row],[SAC]]+표1[[#This Row],[SF]]+표1[[#This Row],[CS]]+표1[[#This Row],[GDP]])/27)</f>
        <v>4.8703899904443384</v>
      </c>
      <c r="AL48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0.32364564007421148</v>
      </c>
      <c r="AM48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66.010000000000005</v>
      </c>
    </row>
    <row r="490" spans="1:39" x14ac:dyDescent="0.3">
      <c r="A490" t="str">
        <f>_xlfn.CONCAT(표1[[#This Row],[Year]],표1[[#This Row],[Player]])</f>
        <v>2013모창민</v>
      </c>
      <c r="B490">
        <v>2013</v>
      </c>
      <c r="C490">
        <v>32</v>
      </c>
      <c r="D490" t="s">
        <v>154</v>
      </c>
      <c r="E490" t="s">
        <v>152</v>
      </c>
      <c r="F490">
        <v>0.27600000000000002</v>
      </c>
      <c r="G490">
        <v>108</v>
      </c>
      <c r="H490">
        <v>436</v>
      </c>
      <c r="I490">
        <v>395</v>
      </c>
      <c r="J490">
        <v>57</v>
      </c>
      <c r="K490">
        <v>109</v>
      </c>
      <c r="L490">
        <f>표1[[#This Row],[H]]-표1[[#This Row],[2B]]-표1[[#This Row],[3B]]-표1[[#This Row],[HR]]</f>
        <v>70</v>
      </c>
      <c r="M490">
        <v>24</v>
      </c>
      <c r="N490">
        <v>3</v>
      </c>
      <c r="O490">
        <v>12</v>
      </c>
      <c r="P490">
        <v>175</v>
      </c>
      <c r="Q490">
        <v>51</v>
      </c>
      <c r="R490">
        <v>2</v>
      </c>
      <c r="S490">
        <v>1</v>
      </c>
      <c r="T490">
        <v>37</v>
      </c>
      <c r="U490">
        <v>0</v>
      </c>
      <c r="V490">
        <v>16</v>
      </c>
      <c r="W490">
        <v>3</v>
      </c>
      <c r="X490">
        <v>1</v>
      </c>
      <c r="Y490">
        <v>68</v>
      </c>
      <c r="Z490">
        <v>11</v>
      </c>
      <c r="AA490">
        <v>0.443</v>
      </c>
      <c r="AB490">
        <v>0.33900000000000002</v>
      </c>
      <c r="AC490">
        <v>0.78200000000000003</v>
      </c>
      <c r="AD490">
        <v>36</v>
      </c>
      <c r="AE490">
        <v>0.35099999999999998</v>
      </c>
      <c r="AF490">
        <v>0</v>
      </c>
      <c r="AG490">
        <f>(표1[[#This Row],[TB]]-표1[[#This Row],[H]])/표1[[#This Row],[AB]]</f>
        <v>0.16708860759493671</v>
      </c>
      <c r="AH490">
        <f>(표1[[#This Row],[TB]]-표1[[#This Row],[H]]+표1[[#This Row],[BB]]+표1[[#This Row],[SB]]-표1[[#This Row],[CS]])/표1[[#This Row],[AB]]</f>
        <v>0.29367088607594938</v>
      </c>
      <c r="AI490">
        <f>(표1[[#This Row],[TB]]+표1[[#This Row],[BB]]+표1[[#This Row],[HBP]]+표1[[#This Row],[SB]]-표1[[#This Row],[CS]])/(표1[[#This Row],[AB]]-표1[[#This Row],[H]]+표1[[#This Row],[CS]]+표1[[#This Row],[GDP]])</f>
        <v>0.7533333333333333</v>
      </c>
      <c r="AJ49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59.410733944954124</v>
      </c>
      <c r="AK490">
        <f>표1[[#This Row],[RC]]/((표1[[#This Row],[AB]]-표1[[#This Row],[H]]+표1[[#This Row],[SAC]]+표1[[#This Row],[SF]]+표1[[#This Row],[CS]]+표1[[#This Row],[GDP]])/27)</f>
        <v>5.2940257970751201</v>
      </c>
      <c r="AL49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0.34058064516129027</v>
      </c>
      <c r="AM49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57.616</v>
      </c>
    </row>
    <row r="491" spans="1:39" x14ac:dyDescent="0.3">
      <c r="A491" t="str">
        <f>_xlfn.CONCAT(표1[[#This Row],[Year]],표1[[#This Row],[Player]])</f>
        <v>2013전준우</v>
      </c>
      <c r="B491">
        <v>2013</v>
      </c>
      <c r="C491">
        <v>33</v>
      </c>
      <c r="D491" t="s">
        <v>136</v>
      </c>
      <c r="E491" t="s">
        <v>17</v>
      </c>
      <c r="F491">
        <v>0.27500000000000002</v>
      </c>
      <c r="G491">
        <v>128</v>
      </c>
      <c r="H491">
        <v>537</v>
      </c>
      <c r="I491">
        <v>455</v>
      </c>
      <c r="J491">
        <v>65</v>
      </c>
      <c r="K491">
        <v>125</v>
      </c>
      <c r="L491">
        <f>표1[[#This Row],[H]]-표1[[#This Row],[2B]]-표1[[#This Row],[3B]]-표1[[#This Row],[HR]]</f>
        <v>92</v>
      </c>
      <c r="M491">
        <v>25</v>
      </c>
      <c r="N491">
        <v>1</v>
      </c>
      <c r="O491">
        <v>7</v>
      </c>
      <c r="P491">
        <v>173</v>
      </c>
      <c r="Q491">
        <v>66</v>
      </c>
      <c r="R491">
        <v>5</v>
      </c>
      <c r="S491">
        <v>7</v>
      </c>
      <c r="T491">
        <v>65</v>
      </c>
      <c r="U491">
        <v>0</v>
      </c>
      <c r="V491">
        <v>19</v>
      </c>
      <c r="W491">
        <v>8</v>
      </c>
      <c r="X491">
        <v>5</v>
      </c>
      <c r="Y491">
        <v>77</v>
      </c>
      <c r="Z491">
        <v>15</v>
      </c>
      <c r="AA491">
        <v>0.38</v>
      </c>
      <c r="AB491">
        <v>0.36699999999999999</v>
      </c>
      <c r="AC491">
        <v>0.747</v>
      </c>
      <c r="AD491">
        <v>34</v>
      </c>
      <c r="AE491">
        <v>0.316</v>
      </c>
      <c r="AF491">
        <v>0</v>
      </c>
      <c r="AG491">
        <f>(표1[[#This Row],[TB]]-표1[[#This Row],[H]])/표1[[#This Row],[AB]]</f>
        <v>0.10549450549450549</v>
      </c>
      <c r="AH491">
        <f>(표1[[#This Row],[TB]]-표1[[#This Row],[H]]+표1[[#This Row],[BB]]+표1[[#This Row],[SB]]-표1[[#This Row],[CS]])/표1[[#This Row],[AB]]</f>
        <v>0.2725274725274725</v>
      </c>
      <c r="AI491">
        <f>(표1[[#This Row],[TB]]+표1[[#This Row],[BB]]+표1[[#This Row],[HBP]]+표1[[#This Row],[SB]]-표1[[#This Row],[CS]])/(표1[[#This Row],[AB]]-표1[[#This Row],[H]]+표1[[#This Row],[CS]]+표1[[#This Row],[GDP]])</f>
        <v>0.71954674220963177</v>
      </c>
      <c r="AJ49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66.404171322160153</v>
      </c>
      <c r="AK491">
        <f>표1[[#This Row],[RC]]/((표1[[#This Row],[AB]]-표1[[#This Row],[H]]+표1[[#This Row],[SAC]]+표1[[#This Row],[SF]]+표1[[#This Row],[CS]]+표1[[#This Row],[GDP]])/27)</f>
        <v>4.9120893854748608</v>
      </c>
      <c r="AL49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0.33322744360902257</v>
      </c>
      <c r="AM49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66.704000000000008</v>
      </c>
    </row>
    <row r="492" spans="1:39" x14ac:dyDescent="0.3">
      <c r="A492" t="str">
        <f>_xlfn.CONCAT(표1[[#This Row],[Year]],표1[[#This Row],[Player]])</f>
        <v>2013황재균</v>
      </c>
      <c r="B492">
        <v>2013</v>
      </c>
      <c r="C492">
        <v>34</v>
      </c>
      <c r="D492" t="s">
        <v>118</v>
      </c>
      <c r="E492" t="s">
        <v>17</v>
      </c>
      <c r="F492">
        <v>0.27400000000000002</v>
      </c>
      <c r="G492">
        <v>128</v>
      </c>
      <c r="H492">
        <v>559</v>
      </c>
      <c r="I492">
        <v>489</v>
      </c>
      <c r="J492">
        <v>70</v>
      </c>
      <c r="K492">
        <v>134</v>
      </c>
      <c r="L492">
        <f>표1[[#This Row],[H]]-표1[[#This Row],[2B]]-표1[[#This Row],[3B]]-표1[[#This Row],[HR]]</f>
        <v>95</v>
      </c>
      <c r="M492">
        <v>29</v>
      </c>
      <c r="N492">
        <v>3</v>
      </c>
      <c r="O492">
        <v>7</v>
      </c>
      <c r="P492">
        <v>190</v>
      </c>
      <c r="Q492">
        <v>56</v>
      </c>
      <c r="R492">
        <v>7</v>
      </c>
      <c r="S492">
        <v>4</v>
      </c>
      <c r="T492">
        <v>49</v>
      </c>
      <c r="U492">
        <v>3</v>
      </c>
      <c r="V492">
        <v>22</v>
      </c>
      <c r="W492">
        <v>11</v>
      </c>
      <c r="X492">
        <v>10</v>
      </c>
      <c r="Y492">
        <v>78</v>
      </c>
      <c r="Z492">
        <v>14</v>
      </c>
      <c r="AA492">
        <v>0.38900000000000001</v>
      </c>
      <c r="AB492">
        <v>0.35</v>
      </c>
      <c r="AC492">
        <v>0.73899999999999999</v>
      </c>
      <c r="AD492">
        <v>32</v>
      </c>
      <c r="AE492">
        <v>0.246</v>
      </c>
      <c r="AF492">
        <v>0</v>
      </c>
      <c r="AG492">
        <f>(표1[[#This Row],[TB]]-표1[[#This Row],[H]])/표1[[#This Row],[AB]]</f>
        <v>0.11451942740286299</v>
      </c>
      <c r="AH492">
        <f>(표1[[#This Row],[TB]]-표1[[#This Row],[H]]+표1[[#This Row],[BB]]+표1[[#This Row],[SB]]-표1[[#This Row],[CS]])/표1[[#This Row],[AB]]</f>
        <v>0.23721881390593047</v>
      </c>
      <c r="AI492">
        <f>(표1[[#This Row],[TB]]+표1[[#This Row],[BB]]+표1[[#This Row],[HBP]]+표1[[#This Row],[SB]]-표1[[#This Row],[CS]])/(표1[[#This Row],[AB]]-표1[[#This Row],[H]]+표1[[#This Row],[CS]]+표1[[#This Row],[GDP]])</f>
        <v>0.68421052631578949</v>
      </c>
      <c r="AJ49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66.634991055456169</v>
      </c>
      <c r="AK492">
        <f>표1[[#This Row],[RC]]/((표1[[#This Row],[AB]]-표1[[#This Row],[H]]+표1[[#This Row],[SAC]]+표1[[#This Row],[SF]]+표1[[#This Row],[CS]]+표1[[#This Row],[GDP]])/27)</f>
        <v>4.6013932442386611</v>
      </c>
      <c r="AL49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0.32536247723132966</v>
      </c>
      <c r="AM49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65.816000000000017</v>
      </c>
    </row>
    <row r="493" spans="1:39" x14ac:dyDescent="0.3">
      <c r="A493" t="str">
        <f>_xlfn.CONCAT(표1[[#This Row],[Year]],표1[[#This Row],[Player]])</f>
        <v>2013정의윤</v>
      </c>
      <c r="B493">
        <v>2013</v>
      </c>
      <c r="C493">
        <v>35</v>
      </c>
      <c r="D493" t="s">
        <v>155</v>
      </c>
      <c r="E493" t="s">
        <v>36</v>
      </c>
      <c r="F493">
        <v>0.27200000000000002</v>
      </c>
      <c r="G493">
        <v>116</v>
      </c>
      <c r="H493">
        <v>405</v>
      </c>
      <c r="I493">
        <v>367</v>
      </c>
      <c r="J493">
        <v>42</v>
      </c>
      <c r="K493">
        <v>100</v>
      </c>
      <c r="L493">
        <f>표1[[#This Row],[H]]-표1[[#This Row],[2B]]-표1[[#This Row],[3B]]-표1[[#This Row],[HR]]</f>
        <v>75</v>
      </c>
      <c r="M493">
        <v>15</v>
      </c>
      <c r="N493">
        <v>5</v>
      </c>
      <c r="O493">
        <v>5</v>
      </c>
      <c r="P493">
        <v>140</v>
      </c>
      <c r="Q493">
        <v>47</v>
      </c>
      <c r="R493">
        <v>1</v>
      </c>
      <c r="S493">
        <v>3</v>
      </c>
      <c r="T493">
        <v>26</v>
      </c>
      <c r="U493">
        <v>2</v>
      </c>
      <c r="V493">
        <v>5</v>
      </c>
      <c r="W493">
        <v>4</v>
      </c>
      <c r="X493">
        <v>8</v>
      </c>
      <c r="Y493">
        <v>45</v>
      </c>
      <c r="Z493">
        <v>10</v>
      </c>
      <c r="AA493">
        <v>0.38100000000000001</v>
      </c>
      <c r="AB493">
        <v>0.33200000000000002</v>
      </c>
      <c r="AC493">
        <v>0.71299999999999997</v>
      </c>
      <c r="AD493">
        <v>27</v>
      </c>
      <c r="AE493">
        <v>0.28100000000000003</v>
      </c>
      <c r="AF493">
        <v>7.0999999999999994E-2</v>
      </c>
      <c r="AG493">
        <f>(표1[[#This Row],[TB]]-표1[[#This Row],[H]])/표1[[#This Row],[AB]]</f>
        <v>0.10899182561307902</v>
      </c>
      <c r="AH493">
        <f>(표1[[#This Row],[TB]]-표1[[#This Row],[H]]+표1[[#This Row],[BB]]+표1[[#This Row],[SB]]-표1[[#This Row],[CS]])/표1[[#This Row],[AB]]</f>
        <v>0.18256130790190736</v>
      </c>
      <c r="AI493">
        <f>(표1[[#This Row],[TB]]+표1[[#This Row],[BB]]+표1[[#This Row],[HBP]]+표1[[#This Row],[SB]]-표1[[#This Row],[CS]])/(표1[[#This Row],[AB]]-표1[[#This Row],[H]]+표1[[#This Row],[CS]]+표1[[#This Row],[GDP]])</f>
        <v>0.62277580071174377</v>
      </c>
      <c r="AJ49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45.333333333333336</v>
      </c>
      <c r="AK493">
        <f>표1[[#This Row],[RC]]/((표1[[#This Row],[AB]]-표1[[#This Row],[H]]+표1[[#This Row],[SAC]]+표1[[#This Row],[SF]]+표1[[#This Row],[CS]]+표1[[#This Row],[GDP]])/27)</f>
        <v>4.2947368421052632</v>
      </c>
      <c r="AL49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0.31286069651741288</v>
      </c>
      <c r="AM49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44.759999999999984</v>
      </c>
    </row>
    <row r="494" spans="1:39" x14ac:dyDescent="0.3">
      <c r="A494" t="str">
        <f>_xlfn.CONCAT(표1[[#This Row],[Year]],표1[[#This Row],[Player]])</f>
        <v>2013손주인</v>
      </c>
      <c r="B494">
        <v>2013</v>
      </c>
      <c r="C494">
        <v>36</v>
      </c>
      <c r="D494" t="s">
        <v>156</v>
      </c>
      <c r="E494" t="s">
        <v>36</v>
      </c>
      <c r="F494">
        <v>0.26500000000000001</v>
      </c>
      <c r="G494">
        <v>125</v>
      </c>
      <c r="H494">
        <v>423</v>
      </c>
      <c r="I494">
        <v>351</v>
      </c>
      <c r="J494">
        <v>42</v>
      </c>
      <c r="K494">
        <v>93</v>
      </c>
      <c r="L494">
        <f>표1[[#This Row],[H]]-표1[[#This Row],[2B]]-표1[[#This Row],[3B]]-표1[[#This Row],[HR]]</f>
        <v>70</v>
      </c>
      <c r="M494">
        <v>17</v>
      </c>
      <c r="N494">
        <v>3</v>
      </c>
      <c r="O494">
        <v>3</v>
      </c>
      <c r="P494">
        <v>125</v>
      </c>
      <c r="Q494">
        <v>41</v>
      </c>
      <c r="R494">
        <v>20</v>
      </c>
      <c r="S494">
        <v>6</v>
      </c>
      <c r="T494">
        <v>40</v>
      </c>
      <c r="U494">
        <v>0</v>
      </c>
      <c r="V494">
        <v>9</v>
      </c>
      <c r="W494">
        <v>6</v>
      </c>
      <c r="X494">
        <v>6</v>
      </c>
      <c r="Y494">
        <v>63</v>
      </c>
      <c r="Z494">
        <v>8</v>
      </c>
      <c r="AA494">
        <v>0.35599999999999998</v>
      </c>
      <c r="AB494">
        <v>0.34499999999999997</v>
      </c>
      <c r="AC494">
        <v>0.70099999999999996</v>
      </c>
      <c r="AD494">
        <v>23</v>
      </c>
      <c r="AE494">
        <v>0.28399999999999997</v>
      </c>
      <c r="AF494">
        <v>0</v>
      </c>
      <c r="AG494">
        <f>(표1[[#This Row],[TB]]-표1[[#This Row],[H]])/표1[[#This Row],[AB]]</f>
        <v>9.1168091168091173E-2</v>
      </c>
      <c r="AH494">
        <f>(표1[[#This Row],[TB]]-표1[[#This Row],[H]]+표1[[#This Row],[BB]]+표1[[#This Row],[SB]]-표1[[#This Row],[CS]])/표1[[#This Row],[AB]]</f>
        <v>0.21367521367521367</v>
      </c>
      <c r="AI494">
        <f>(표1[[#This Row],[TB]]+표1[[#This Row],[BB]]+표1[[#This Row],[HBP]]+표1[[#This Row],[SB]]-표1[[#This Row],[CS]])/(표1[[#This Row],[AB]]-표1[[#This Row],[H]]+표1[[#This Row],[CS]]+표1[[#This Row],[GDP]])</f>
        <v>0.63970588235294112</v>
      </c>
      <c r="AJ49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45.851063829787236</v>
      </c>
      <c r="AK494">
        <f>표1[[#This Row],[RC]]/((표1[[#This Row],[AB]]-표1[[#This Row],[H]]+표1[[#This Row],[SAC]]+표1[[#This Row],[SF]]+표1[[#This Row],[CS]]+표1[[#This Row],[GDP]])/27)</f>
        <v>4.1542910181350852</v>
      </c>
      <c r="AL49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0.31308684863523573</v>
      </c>
      <c r="AM49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46.356000000000002</v>
      </c>
    </row>
    <row r="495" spans="1:39" x14ac:dyDescent="0.3">
      <c r="A495" t="str">
        <f>_xlfn.CONCAT(표1[[#This Row],[Year]],표1[[#This Row],[Player]])</f>
        <v>2013정훈</v>
      </c>
      <c r="B495">
        <v>2013</v>
      </c>
      <c r="C495">
        <v>37</v>
      </c>
      <c r="D495" t="s">
        <v>157</v>
      </c>
      <c r="E495" t="s">
        <v>17</v>
      </c>
      <c r="F495">
        <v>0.25800000000000001</v>
      </c>
      <c r="G495">
        <v>113</v>
      </c>
      <c r="H495">
        <v>398</v>
      </c>
      <c r="I495">
        <v>341</v>
      </c>
      <c r="J495">
        <v>50</v>
      </c>
      <c r="K495">
        <v>88</v>
      </c>
      <c r="L495">
        <f>표1[[#This Row],[H]]-표1[[#This Row],[2B]]-표1[[#This Row],[3B]]-표1[[#This Row],[HR]]</f>
        <v>65</v>
      </c>
      <c r="M495">
        <v>15</v>
      </c>
      <c r="N495">
        <v>3</v>
      </c>
      <c r="O495">
        <v>5</v>
      </c>
      <c r="P495">
        <v>124</v>
      </c>
      <c r="Q495">
        <v>37</v>
      </c>
      <c r="R495">
        <v>14</v>
      </c>
      <c r="S495">
        <v>5</v>
      </c>
      <c r="T495">
        <v>30</v>
      </c>
      <c r="U495">
        <v>0</v>
      </c>
      <c r="V495">
        <v>7</v>
      </c>
      <c r="W495">
        <v>3</v>
      </c>
      <c r="X495">
        <v>8</v>
      </c>
      <c r="Y495">
        <v>54</v>
      </c>
      <c r="Z495">
        <v>8</v>
      </c>
      <c r="AA495">
        <v>0.36399999999999999</v>
      </c>
      <c r="AB495">
        <v>0.32800000000000001</v>
      </c>
      <c r="AC495">
        <v>0.69199999999999995</v>
      </c>
      <c r="AD495">
        <v>18</v>
      </c>
      <c r="AE495">
        <v>0.25800000000000001</v>
      </c>
      <c r="AF495">
        <v>0.25</v>
      </c>
      <c r="AG495">
        <f>(표1[[#This Row],[TB]]-표1[[#This Row],[H]])/표1[[#This Row],[AB]]</f>
        <v>0.10557184750733138</v>
      </c>
      <c r="AH495">
        <f>(표1[[#This Row],[TB]]-표1[[#This Row],[H]]+표1[[#This Row],[BB]]+표1[[#This Row],[SB]]-표1[[#This Row],[CS]])/표1[[#This Row],[AB]]</f>
        <v>0.20527859237536658</v>
      </c>
      <c r="AI495">
        <f>(표1[[#This Row],[TB]]+표1[[#This Row],[BB]]+표1[[#This Row],[HBP]]+표1[[#This Row],[SB]]-표1[[#This Row],[CS]])/(표1[[#This Row],[AB]]-표1[[#This Row],[H]]+표1[[#This Row],[CS]]+표1[[#This Row],[GDP]])</f>
        <v>0.62878787878787878</v>
      </c>
      <c r="AJ49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42.590452261306531</v>
      </c>
      <c r="AK495">
        <f>표1[[#This Row],[RC]]/((표1[[#This Row],[AB]]-표1[[#This Row],[H]]+표1[[#This Row],[SAC]]+표1[[#This Row],[SF]]+표1[[#This Row],[CS]]+표1[[#This Row],[GDP]])/27)</f>
        <v>4.0634000390645806</v>
      </c>
      <c r="AL49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0.30700520833333328</v>
      </c>
      <c r="AM49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43.087999999999987</v>
      </c>
    </row>
    <row r="496" spans="1:39" x14ac:dyDescent="0.3">
      <c r="A496" t="str">
        <f>_xlfn.CONCAT(표1[[#This Row],[Year]],표1[[#This Row],[Player]])</f>
        <v>2013이대수</v>
      </c>
      <c r="B496">
        <v>2013</v>
      </c>
      <c r="C496">
        <v>38</v>
      </c>
      <c r="D496" t="s">
        <v>82</v>
      </c>
      <c r="E496" t="s">
        <v>11</v>
      </c>
      <c r="F496">
        <v>0.25600000000000001</v>
      </c>
      <c r="G496">
        <v>122</v>
      </c>
      <c r="H496">
        <v>448</v>
      </c>
      <c r="I496">
        <v>390</v>
      </c>
      <c r="J496">
        <v>54</v>
      </c>
      <c r="K496">
        <v>100</v>
      </c>
      <c r="L496">
        <f>표1[[#This Row],[H]]-표1[[#This Row],[2B]]-표1[[#This Row],[3B]]-표1[[#This Row],[HR]]</f>
        <v>71</v>
      </c>
      <c r="M496">
        <v>23</v>
      </c>
      <c r="N496">
        <v>2</v>
      </c>
      <c r="O496">
        <v>4</v>
      </c>
      <c r="P496">
        <v>139</v>
      </c>
      <c r="Q496">
        <v>42</v>
      </c>
      <c r="R496">
        <v>11</v>
      </c>
      <c r="S496">
        <v>3</v>
      </c>
      <c r="T496">
        <v>38</v>
      </c>
      <c r="U496">
        <v>0</v>
      </c>
      <c r="V496">
        <v>11</v>
      </c>
      <c r="W496">
        <v>4</v>
      </c>
      <c r="X496">
        <v>6</v>
      </c>
      <c r="Y496">
        <v>88</v>
      </c>
      <c r="Z496">
        <v>10</v>
      </c>
      <c r="AA496">
        <v>0.35599999999999998</v>
      </c>
      <c r="AB496">
        <v>0.33</v>
      </c>
      <c r="AC496">
        <v>0.68600000000000005</v>
      </c>
      <c r="AD496">
        <v>26</v>
      </c>
      <c r="AE496">
        <v>0.29299999999999998</v>
      </c>
      <c r="AF496">
        <v>0.4</v>
      </c>
      <c r="AG496">
        <f>(표1[[#This Row],[TB]]-표1[[#This Row],[H]])/표1[[#This Row],[AB]]</f>
        <v>0.1</v>
      </c>
      <c r="AH496">
        <f>(표1[[#This Row],[TB]]-표1[[#This Row],[H]]+표1[[#This Row],[BB]]+표1[[#This Row],[SB]]-표1[[#This Row],[CS]])/표1[[#This Row],[AB]]</f>
        <v>0.2153846153846154</v>
      </c>
      <c r="AI496">
        <f>(표1[[#This Row],[TB]]+표1[[#This Row],[BB]]+표1[[#This Row],[HBP]]+표1[[#This Row],[SB]]-표1[[#This Row],[CS]])/(표1[[#This Row],[AB]]-표1[[#This Row],[H]]+표1[[#This Row],[CS]]+표1[[#This Row],[GDP]])</f>
        <v>0.625</v>
      </c>
      <c r="AJ49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47.426785714285714</v>
      </c>
      <c r="AK496">
        <f>표1[[#This Row],[RC]]/((표1[[#This Row],[AB]]-표1[[#This Row],[H]]+표1[[#This Row],[SAC]]+표1[[#This Row],[SF]]+표1[[#This Row],[CS]]+표1[[#This Row],[GDP]])/27)</f>
        <v>4.0268025606468996</v>
      </c>
      <c r="AL49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0.30591075514874139</v>
      </c>
      <c r="AM49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46.605999999999987</v>
      </c>
    </row>
    <row r="497" spans="1:39" x14ac:dyDescent="0.3">
      <c r="A497" t="str">
        <f>_xlfn.CONCAT(표1[[#This Row],[Year]],표1[[#This Row],[Player]])</f>
        <v>2013오지환</v>
      </c>
      <c r="B497">
        <v>2013</v>
      </c>
      <c r="C497">
        <v>39</v>
      </c>
      <c r="D497" t="s">
        <v>135</v>
      </c>
      <c r="E497" t="s">
        <v>36</v>
      </c>
      <c r="F497">
        <v>0.25600000000000001</v>
      </c>
      <c r="G497">
        <v>124</v>
      </c>
      <c r="H497">
        <v>514</v>
      </c>
      <c r="I497">
        <v>441</v>
      </c>
      <c r="J497">
        <v>81</v>
      </c>
      <c r="K497">
        <v>113</v>
      </c>
      <c r="L497">
        <f>표1[[#This Row],[H]]-표1[[#This Row],[2B]]-표1[[#This Row],[3B]]-표1[[#This Row],[HR]]</f>
        <v>76</v>
      </c>
      <c r="M497">
        <v>20</v>
      </c>
      <c r="N497">
        <v>8</v>
      </c>
      <c r="O497">
        <v>9</v>
      </c>
      <c r="P497">
        <v>176</v>
      </c>
      <c r="Q497">
        <v>47</v>
      </c>
      <c r="R497">
        <v>7</v>
      </c>
      <c r="S497">
        <v>3</v>
      </c>
      <c r="T497">
        <v>54</v>
      </c>
      <c r="U497">
        <v>0</v>
      </c>
      <c r="V497">
        <v>30</v>
      </c>
      <c r="W497">
        <v>7</v>
      </c>
      <c r="X497">
        <v>9</v>
      </c>
      <c r="Y497">
        <v>113</v>
      </c>
      <c r="Z497">
        <v>7</v>
      </c>
      <c r="AA497">
        <v>0.39900000000000002</v>
      </c>
      <c r="AB497">
        <v>0.34699999999999998</v>
      </c>
      <c r="AC497">
        <v>0.746</v>
      </c>
      <c r="AD497">
        <v>26</v>
      </c>
      <c r="AE497">
        <v>0.21099999999999999</v>
      </c>
      <c r="AF497">
        <v>0.5</v>
      </c>
      <c r="AG497">
        <f>(표1[[#This Row],[TB]]-표1[[#This Row],[H]])/표1[[#This Row],[AB]]</f>
        <v>0.14285714285714285</v>
      </c>
      <c r="AH497">
        <f>(표1[[#This Row],[TB]]-표1[[#This Row],[H]]+표1[[#This Row],[BB]]+표1[[#This Row],[SB]]-표1[[#This Row],[CS]])/표1[[#This Row],[AB]]</f>
        <v>0.31746031746031744</v>
      </c>
      <c r="AI497">
        <f>(표1[[#This Row],[TB]]+표1[[#This Row],[BB]]+표1[[#This Row],[HBP]]+표1[[#This Row],[SB]]-표1[[#This Row],[CS]])/(표1[[#This Row],[AB]]-표1[[#This Row],[H]]+표1[[#This Row],[CS]]+표1[[#This Row],[GDP]])</f>
        <v>0.76608187134502925</v>
      </c>
      <c r="AJ49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67.189027237354097</v>
      </c>
      <c r="AK497">
        <f>표1[[#This Row],[RC]]/((표1[[#This Row],[AB]]-표1[[#This Row],[H]]+표1[[#This Row],[SAC]]+표1[[#This Row],[SF]]+표1[[#This Row],[CS]]+표1[[#This Row],[GDP]])/27)</f>
        <v>5.1537037937743202</v>
      </c>
      <c r="AL49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0.33018145956607492</v>
      </c>
      <c r="AM49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66.63600000000001</v>
      </c>
    </row>
    <row r="498" spans="1:39" x14ac:dyDescent="0.3">
      <c r="A498" t="str">
        <f>_xlfn.CONCAT(표1[[#This Row],[Year]],표1[[#This Row],[Player]])</f>
        <v>2013조동화</v>
      </c>
      <c r="B498">
        <v>2013</v>
      </c>
      <c r="C498">
        <v>40</v>
      </c>
      <c r="D498" t="s">
        <v>158</v>
      </c>
      <c r="E498" t="s">
        <v>8</v>
      </c>
      <c r="F498">
        <v>0.25600000000000001</v>
      </c>
      <c r="G498">
        <v>105</v>
      </c>
      <c r="H498">
        <v>405</v>
      </c>
      <c r="I498">
        <v>332</v>
      </c>
      <c r="J498">
        <v>52</v>
      </c>
      <c r="K498">
        <v>85</v>
      </c>
      <c r="L498">
        <f>표1[[#This Row],[H]]-표1[[#This Row],[2B]]-표1[[#This Row],[3B]]-표1[[#This Row],[HR]]</f>
        <v>71</v>
      </c>
      <c r="M498">
        <v>11</v>
      </c>
      <c r="N498">
        <v>3</v>
      </c>
      <c r="O498">
        <v>0</v>
      </c>
      <c r="P498">
        <v>102</v>
      </c>
      <c r="Q498">
        <v>19</v>
      </c>
      <c r="R498">
        <v>16</v>
      </c>
      <c r="S498">
        <v>3</v>
      </c>
      <c r="T498">
        <v>46</v>
      </c>
      <c r="U498">
        <v>1</v>
      </c>
      <c r="V498">
        <v>24</v>
      </c>
      <c r="W498">
        <v>9</v>
      </c>
      <c r="X498">
        <v>8</v>
      </c>
      <c r="Y498">
        <v>76</v>
      </c>
      <c r="Z498">
        <v>3</v>
      </c>
      <c r="AA498">
        <v>0.307</v>
      </c>
      <c r="AB498">
        <v>0.35699999999999998</v>
      </c>
      <c r="AC498">
        <v>0.66400000000000003</v>
      </c>
      <c r="AD498">
        <v>16</v>
      </c>
      <c r="AE498">
        <v>0.191</v>
      </c>
      <c r="AF498">
        <v>0.2</v>
      </c>
      <c r="AG498">
        <f>(표1[[#This Row],[TB]]-표1[[#This Row],[H]])/표1[[#This Row],[AB]]</f>
        <v>5.1204819277108432E-2</v>
      </c>
      <c r="AH498">
        <f>(표1[[#This Row],[TB]]-표1[[#This Row],[H]]+표1[[#This Row],[BB]]+표1[[#This Row],[SB]]-표1[[#This Row],[CS]])/표1[[#This Row],[AB]]</f>
        <v>0.23493975903614459</v>
      </c>
      <c r="AI498">
        <f>(표1[[#This Row],[TB]]+표1[[#This Row],[BB]]+표1[[#This Row],[HBP]]+표1[[#This Row],[SB]]-표1[[#This Row],[CS]])/(표1[[#This Row],[AB]]-표1[[#This Row],[H]]+표1[[#This Row],[CS]]+표1[[#This Row],[GDP]])</f>
        <v>0.66023166023166024</v>
      </c>
      <c r="AJ49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43.317975308641969</v>
      </c>
      <c r="AK498">
        <f>표1[[#This Row],[RC]]/((표1[[#This Row],[AB]]-표1[[#This Row],[H]]+표1[[#This Row],[SAC]]+표1[[#This Row],[SF]]+표1[[#This Row],[CS]]+표1[[#This Row],[GDP]])/27)</f>
        <v>4.207141486810551</v>
      </c>
      <c r="AL49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0.30474484536082469</v>
      </c>
      <c r="AM49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44.051999999999992</v>
      </c>
    </row>
    <row r="499" spans="1:39" x14ac:dyDescent="0.3">
      <c r="A499" t="str">
        <f>_xlfn.CONCAT(표1[[#This Row],[Year]],표1[[#This Row],[Player]])</f>
        <v>2013박종윤</v>
      </c>
      <c r="B499">
        <v>2013</v>
      </c>
      <c r="C499">
        <v>41</v>
      </c>
      <c r="D499" t="s">
        <v>145</v>
      </c>
      <c r="E499" t="s">
        <v>17</v>
      </c>
      <c r="F499">
        <v>0.255</v>
      </c>
      <c r="G499">
        <v>115</v>
      </c>
      <c r="H499">
        <v>416</v>
      </c>
      <c r="I499">
        <v>381</v>
      </c>
      <c r="J499">
        <v>37</v>
      </c>
      <c r="K499">
        <v>97</v>
      </c>
      <c r="L499">
        <f>표1[[#This Row],[H]]-표1[[#This Row],[2B]]-표1[[#This Row],[3B]]-표1[[#This Row],[HR]]</f>
        <v>64</v>
      </c>
      <c r="M499">
        <v>24</v>
      </c>
      <c r="N499">
        <v>2</v>
      </c>
      <c r="O499">
        <v>7</v>
      </c>
      <c r="P499">
        <v>146</v>
      </c>
      <c r="Q499">
        <v>58</v>
      </c>
      <c r="R499">
        <v>3</v>
      </c>
      <c r="S499">
        <v>6</v>
      </c>
      <c r="T499">
        <v>21</v>
      </c>
      <c r="U499">
        <v>3</v>
      </c>
      <c r="V499">
        <v>4</v>
      </c>
      <c r="W499">
        <v>2</v>
      </c>
      <c r="X499">
        <v>5</v>
      </c>
      <c r="Y499">
        <v>56</v>
      </c>
      <c r="Z499">
        <v>9</v>
      </c>
      <c r="AA499">
        <v>0.38300000000000001</v>
      </c>
      <c r="AB499">
        <v>0.29799999999999999</v>
      </c>
      <c r="AC499">
        <v>0.68100000000000005</v>
      </c>
      <c r="AD499">
        <v>27</v>
      </c>
      <c r="AE499">
        <v>0.252</v>
      </c>
      <c r="AF499">
        <v>0.625</v>
      </c>
      <c r="AG499">
        <f>(표1[[#This Row],[TB]]-표1[[#This Row],[H]])/표1[[#This Row],[AB]]</f>
        <v>0.12860892388451445</v>
      </c>
      <c r="AH499">
        <f>(표1[[#This Row],[TB]]-표1[[#This Row],[H]]+표1[[#This Row],[BB]]+표1[[#This Row],[SB]]-표1[[#This Row],[CS]])/표1[[#This Row],[AB]]</f>
        <v>0.1889763779527559</v>
      </c>
      <c r="AI499">
        <f>(표1[[#This Row],[TB]]+표1[[#This Row],[BB]]+표1[[#This Row],[HBP]]+표1[[#This Row],[SB]]-표1[[#This Row],[CS]])/(표1[[#This Row],[AB]]-표1[[#This Row],[H]]+표1[[#This Row],[CS]]+표1[[#This Row],[GDP]])</f>
        <v>0.5898305084745763</v>
      </c>
      <c r="AJ49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42.737692307692299</v>
      </c>
      <c r="AK499">
        <f>표1[[#This Row],[RC]]/((표1[[#This Row],[AB]]-표1[[#This Row],[H]]+표1[[#This Row],[SAC]]+표1[[#This Row],[SF]]+표1[[#This Row],[CS]]+표1[[#This Row],[GDP]])/27)</f>
        <v>3.7957818825910921</v>
      </c>
      <c r="AL49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0.293619512195122</v>
      </c>
      <c r="AM49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43.092000000000006</v>
      </c>
    </row>
    <row r="500" spans="1:39" x14ac:dyDescent="0.3">
      <c r="A500" t="str">
        <f>_xlfn.CONCAT(표1[[#This Row],[Year]],표1[[#This Row],[Player]])</f>
        <v>2013이승엽</v>
      </c>
      <c r="B500">
        <v>2013</v>
      </c>
      <c r="C500">
        <v>42</v>
      </c>
      <c r="D500" t="s">
        <v>19</v>
      </c>
      <c r="E500" t="s">
        <v>6</v>
      </c>
      <c r="F500">
        <v>0.253</v>
      </c>
      <c r="G500">
        <v>111</v>
      </c>
      <c r="H500">
        <v>483</v>
      </c>
      <c r="I500">
        <v>443</v>
      </c>
      <c r="J500">
        <v>62</v>
      </c>
      <c r="K500">
        <v>112</v>
      </c>
      <c r="L500">
        <f>표1[[#This Row],[H]]-표1[[#This Row],[2B]]-표1[[#This Row],[3B]]-표1[[#This Row],[HR]]</f>
        <v>75</v>
      </c>
      <c r="M500">
        <v>24</v>
      </c>
      <c r="N500">
        <v>0</v>
      </c>
      <c r="O500">
        <v>13</v>
      </c>
      <c r="P500">
        <v>175</v>
      </c>
      <c r="Q500">
        <v>69</v>
      </c>
      <c r="R500">
        <v>0</v>
      </c>
      <c r="S500">
        <v>8</v>
      </c>
      <c r="T500">
        <v>30</v>
      </c>
      <c r="U500">
        <v>2</v>
      </c>
      <c r="V500">
        <v>3</v>
      </c>
      <c r="W500">
        <v>1</v>
      </c>
      <c r="X500">
        <v>2</v>
      </c>
      <c r="Y500">
        <v>94</v>
      </c>
      <c r="Z500">
        <v>8</v>
      </c>
      <c r="AA500">
        <v>0.39500000000000002</v>
      </c>
      <c r="AB500">
        <v>0.29799999999999999</v>
      </c>
      <c r="AC500">
        <v>0.69299999999999995</v>
      </c>
      <c r="AD500">
        <v>35</v>
      </c>
      <c r="AE500">
        <v>0.218</v>
      </c>
      <c r="AF500">
        <v>0</v>
      </c>
      <c r="AG500">
        <f>(표1[[#This Row],[TB]]-표1[[#This Row],[H]])/표1[[#This Row],[AB]]</f>
        <v>0.14221218961625282</v>
      </c>
      <c r="AH500">
        <f>(표1[[#This Row],[TB]]-표1[[#This Row],[H]]+표1[[#This Row],[BB]]+표1[[#This Row],[SB]]-표1[[#This Row],[CS]])/표1[[#This Row],[AB]]</f>
        <v>0.2144469525959368</v>
      </c>
      <c r="AI500">
        <f>(표1[[#This Row],[TB]]+표1[[#This Row],[BB]]+표1[[#This Row],[HBP]]+표1[[#This Row],[SB]]-표1[[#This Row],[CS]])/(표1[[#This Row],[AB]]-표1[[#This Row],[H]]+표1[[#This Row],[CS]]+표1[[#This Row],[GDP]])</f>
        <v>0.61470588235294121</v>
      </c>
      <c r="AJ50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52.691925465838509</v>
      </c>
      <c r="AK500">
        <f>표1[[#This Row],[RC]]/((표1[[#This Row],[AB]]-표1[[#This Row],[H]]+표1[[#This Row],[SAC]]+표1[[#This Row],[SF]]+표1[[#This Row],[CS]]+표1[[#This Row],[GDP]])/27)</f>
        <v>4.0881666309702291</v>
      </c>
      <c r="AL50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0.29940540540540539</v>
      </c>
      <c r="AM50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53.878000000000014</v>
      </c>
    </row>
    <row r="501" spans="1:39" x14ac:dyDescent="0.3">
      <c r="A501" t="str">
        <f>_xlfn.CONCAT(표1[[#This Row],[Year]],표1[[#This Row],[Player]])</f>
        <v>2013안치홍</v>
      </c>
      <c r="B501">
        <v>2013</v>
      </c>
      <c r="C501">
        <v>43</v>
      </c>
      <c r="D501" t="s">
        <v>122</v>
      </c>
      <c r="E501" t="s">
        <v>13</v>
      </c>
      <c r="F501">
        <v>0.249</v>
      </c>
      <c r="G501">
        <v>118</v>
      </c>
      <c r="H501">
        <v>484</v>
      </c>
      <c r="I501">
        <v>414</v>
      </c>
      <c r="J501">
        <v>56</v>
      </c>
      <c r="K501">
        <v>103</v>
      </c>
      <c r="L501">
        <f>표1[[#This Row],[H]]-표1[[#This Row],[2B]]-표1[[#This Row],[3B]]-표1[[#This Row],[HR]]</f>
        <v>85</v>
      </c>
      <c r="M501">
        <v>15</v>
      </c>
      <c r="N501">
        <v>0</v>
      </c>
      <c r="O501">
        <v>3</v>
      </c>
      <c r="P501">
        <v>127</v>
      </c>
      <c r="Q501">
        <v>39</v>
      </c>
      <c r="R501">
        <v>7</v>
      </c>
      <c r="S501">
        <v>5</v>
      </c>
      <c r="T501">
        <v>52</v>
      </c>
      <c r="U501">
        <v>0</v>
      </c>
      <c r="V501">
        <v>16</v>
      </c>
      <c r="W501">
        <v>1</v>
      </c>
      <c r="X501">
        <v>6</v>
      </c>
      <c r="Y501">
        <v>74</v>
      </c>
      <c r="Z501">
        <v>13</v>
      </c>
      <c r="AA501">
        <v>0.307</v>
      </c>
      <c r="AB501">
        <v>0.33800000000000002</v>
      </c>
      <c r="AC501">
        <v>0.64500000000000002</v>
      </c>
      <c r="AD501">
        <v>26</v>
      </c>
      <c r="AE501">
        <v>0.245</v>
      </c>
      <c r="AF501">
        <v>1</v>
      </c>
      <c r="AG501">
        <f>(표1[[#This Row],[TB]]-표1[[#This Row],[H]])/표1[[#This Row],[AB]]</f>
        <v>5.7971014492753624E-2</v>
      </c>
      <c r="AH501">
        <f>(표1[[#This Row],[TB]]-표1[[#This Row],[H]]+표1[[#This Row],[BB]]+표1[[#This Row],[SB]]-표1[[#This Row],[CS]])/표1[[#This Row],[AB]]</f>
        <v>0.21980676328502416</v>
      </c>
      <c r="AI501">
        <f>(표1[[#This Row],[TB]]+표1[[#This Row],[BB]]+표1[[#This Row],[HBP]]+표1[[#This Row],[SB]]-표1[[#This Row],[CS]])/(표1[[#This Row],[AB]]-표1[[#This Row],[H]]+표1[[#This Row],[CS]]+표1[[#This Row],[GDP]])</f>
        <v>0.61538461538461542</v>
      </c>
      <c r="AJ50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47.574545454545458</v>
      </c>
      <c r="AK501">
        <f>표1[[#This Row],[RC]]/((표1[[#This Row],[AB]]-표1[[#This Row],[H]]+표1[[#This Row],[SAC]]+표1[[#This Row],[SF]]+표1[[#This Row],[CS]]+표1[[#This Row],[GDP]])/27)</f>
        <v>3.8116104666846509</v>
      </c>
      <c r="AL50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0.29440880503144651</v>
      </c>
      <c r="AM50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48.637999999999998</v>
      </c>
    </row>
    <row r="502" spans="1:39" x14ac:dyDescent="0.3">
      <c r="A502" t="str">
        <f>_xlfn.CONCAT(표1[[#This Row],[Year]],표1[[#This Row],[Player]])</f>
        <v>2013이범호</v>
      </c>
      <c r="B502">
        <v>2013</v>
      </c>
      <c r="C502">
        <v>44</v>
      </c>
      <c r="D502" t="s">
        <v>53</v>
      </c>
      <c r="E502" t="s">
        <v>13</v>
      </c>
      <c r="F502">
        <v>0.248</v>
      </c>
      <c r="G502">
        <v>122</v>
      </c>
      <c r="H502">
        <v>516</v>
      </c>
      <c r="I502">
        <v>436</v>
      </c>
      <c r="J502">
        <v>56</v>
      </c>
      <c r="K502">
        <v>108</v>
      </c>
      <c r="L502">
        <f>표1[[#This Row],[H]]-표1[[#This Row],[2B]]-표1[[#This Row],[3B]]-표1[[#This Row],[HR]]</f>
        <v>67</v>
      </c>
      <c r="M502">
        <v>17</v>
      </c>
      <c r="N502">
        <v>0</v>
      </c>
      <c r="O502">
        <v>24</v>
      </c>
      <c r="P502">
        <v>197</v>
      </c>
      <c r="Q502">
        <v>73</v>
      </c>
      <c r="R502">
        <v>4</v>
      </c>
      <c r="S502">
        <v>5</v>
      </c>
      <c r="T502">
        <v>62</v>
      </c>
      <c r="U502">
        <v>3</v>
      </c>
      <c r="V502">
        <v>0</v>
      </c>
      <c r="W502">
        <v>2</v>
      </c>
      <c r="X502">
        <v>9</v>
      </c>
      <c r="Y502">
        <v>79</v>
      </c>
      <c r="Z502">
        <v>18</v>
      </c>
      <c r="AA502">
        <v>0.45200000000000001</v>
      </c>
      <c r="AB502">
        <v>0.35</v>
      </c>
      <c r="AC502">
        <v>0.80200000000000005</v>
      </c>
      <c r="AD502">
        <v>27</v>
      </c>
      <c r="AE502">
        <v>0.189</v>
      </c>
      <c r="AF502">
        <v>0</v>
      </c>
      <c r="AG502">
        <f>(표1[[#This Row],[TB]]-표1[[#This Row],[H]])/표1[[#This Row],[AB]]</f>
        <v>0.20412844036697247</v>
      </c>
      <c r="AH502">
        <f>(표1[[#This Row],[TB]]-표1[[#This Row],[H]]+표1[[#This Row],[BB]]+표1[[#This Row],[SB]]-표1[[#This Row],[CS]])/표1[[#This Row],[AB]]</f>
        <v>0.34174311926605505</v>
      </c>
      <c r="AI502">
        <f>(표1[[#This Row],[TB]]+표1[[#This Row],[BB]]+표1[[#This Row],[HBP]]+표1[[#This Row],[SB]]-표1[[#This Row],[CS]])/(표1[[#This Row],[AB]]-표1[[#This Row],[H]]+표1[[#This Row],[CS]]+표1[[#This Row],[GDP]])</f>
        <v>0.76436781609195403</v>
      </c>
      <c r="AJ50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67.593488372093034</v>
      </c>
      <c r="AK502">
        <f>표1[[#This Row],[RC]]/((표1[[#This Row],[AB]]-표1[[#This Row],[H]]+표1[[#This Row],[SAC]]+표1[[#This Row],[SF]]+표1[[#This Row],[CS]]+표1[[#This Row],[GDP]])/27)</f>
        <v>5.1121125659566165</v>
      </c>
      <c r="AL50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0.34824361493123773</v>
      </c>
      <c r="AM50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68.728000000000009</v>
      </c>
    </row>
    <row r="503" spans="1:39" x14ac:dyDescent="0.3">
      <c r="A503" t="str">
        <f>_xlfn.CONCAT(표1[[#This Row],[Year]],표1[[#This Row],[Player]])</f>
        <v>2013나성범</v>
      </c>
      <c r="B503">
        <v>2013</v>
      </c>
      <c r="C503">
        <v>45</v>
      </c>
      <c r="D503" t="s">
        <v>159</v>
      </c>
      <c r="E503" t="s">
        <v>152</v>
      </c>
      <c r="F503">
        <v>0.24299999999999999</v>
      </c>
      <c r="G503">
        <v>104</v>
      </c>
      <c r="H503">
        <v>458</v>
      </c>
      <c r="I503">
        <v>404</v>
      </c>
      <c r="J503">
        <v>55</v>
      </c>
      <c r="K503">
        <v>98</v>
      </c>
      <c r="L503">
        <f>표1[[#This Row],[H]]-표1[[#This Row],[2B]]-표1[[#This Row],[3B]]-표1[[#This Row],[HR]]</f>
        <v>61</v>
      </c>
      <c r="M503">
        <v>18</v>
      </c>
      <c r="N503">
        <v>5</v>
      </c>
      <c r="O503">
        <v>14</v>
      </c>
      <c r="P503">
        <v>168</v>
      </c>
      <c r="Q503">
        <v>64</v>
      </c>
      <c r="R503">
        <v>0</v>
      </c>
      <c r="S503">
        <v>6</v>
      </c>
      <c r="T503">
        <v>33</v>
      </c>
      <c r="U503">
        <v>3</v>
      </c>
      <c r="V503">
        <v>12</v>
      </c>
      <c r="W503">
        <v>2</v>
      </c>
      <c r="X503">
        <v>15</v>
      </c>
      <c r="Y503">
        <v>95</v>
      </c>
      <c r="Z503">
        <v>7</v>
      </c>
      <c r="AA503">
        <v>0.41599999999999998</v>
      </c>
      <c r="AB503">
        <v>0.31900000000000001</v>
      </c>
      <c r="AC503">
        <v>0.73499999999999999</v>
      </c>
      <c r="AD503">
        <v>19</v>
      </c>
      <c r="AE503">
        <v>0.24199999999999999</v>
      </c>
      <c r="AF503">
        <v>0</v>
      </c>
      <c r="AG503">
        <f>(표1[[#This Row],[TB]]-표1[[#This Row],[H]])/표1[[#This Row],[AB]]</f>
        <v>0.17326732673267325</v>
      </c>
      <c r="AH503">
        <f>(표1[[#This Row],[TB]]-표1[[#This Row],[H]]+표1[[#This Row],[BB]]+표1[[#This Row],[SB]]-표1[[#This Row],[CS]])/표1[[#This Row],[AB]]</f>
        <v>0.27970297029702973</v>
      </c>
      <c r="AI503">
        <f>(표1[[#This Row],[TB]]+표1[[#This Row],[BB]]+표1[[#This Row],[HBP]]+표1[[#This Row],[SB]]-표1[[#This Row],[CS]])/(표1[[#This Row],[AB]]-표1[[#This Row],[H]]+표1[[#This Row],[CS]]+표1[[#This Row],[GDP]])</f>
        <v>0.71746031746031746</v>
      </c>
      <c r="AJ50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56.552882096069872</v>
      </c>
      <c r="AK503">
        <f>표1[[#This Row],[RC]]/((표1[[#This Row],[AB]]-표1[[#This Row],[H]]+표1[[#This Row],[SAC]]+표1[[#This Row],[SF]]+표1[[#This Row],[CS]]+표1[[#This Row],[GDP]])/27)</f>
        <v>4.7567844753703632</v>
      </c>
      <c r="AL50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0.31843296703296703</v>
      </c>
      <c r="AM50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57.72</v>
      </c>
    </row>
    <row r="504" spans="1:39" x14ac:dyDescent="0.3">
      <c r="A504" t="str">
        <f>_xlfn.CONCAT(표1[[#This Row],[Year]],표1[[#This Row],[Player]])</f>
        <v>2013장기영</v>
      </c>
      <c r="B504">
        <v>2013</v>
      </c>
      <c r="C504">
        <v>46</v>
      </c>
      <c r="D504" t="s">
        <v>128</v>
      </c>
      <c r="E504" t="s">
        <v>125</v>
      </c>
      <c r="F504">
        <v>0.24199999999999999</v>
      </c>
      <c r="G504">
        <v>115</v>
      </c>
      <c r="H504">
        <v>407</v>
      </c>
      <c r="I504">
        <v>360</v>
      </c>
      <c r="J504">
        <v>54</v>
      </c>
      <c r="K504">
        <v>87</v>
      </c>
      <c r="L504">
        <f>표1[[#This Row],[H]]-표1[[#This Row],[2B]]-표1[[#This Row],[3B]]-표1[[#This Row],[HR]]</f>
        <v>67</v>
      </c>
      <c r="M504">
        <v>16</v>
      </c>
      <c r="N504">
        <v>2</v>
      </c>
      <c r="O504">
        <v>2</v>
      </c>
      <c r="P504">
        <v>113</v>
      </c>
      <c r="Q504">
        <v>30</v>
      </c>
      <c r="R504">
        <v>9</v>
      </c>
      <c r="S504">
        <v>3</v>
      </c>
      <c r="T504">
        <v>35</v>
      </c>
      <c r="U504">
        <v>0</v>
      </c>
      <c r="V504">
        <v>20</v>
      </c>
      <c r="W504">
        <v>11</v>
      </c>
      <c r="X504">
        <v>0</v>
      </c>
      <c r="Y504">
        <v>63</v>
      </c>
      <c r="Z504">
        <v>4</v>
      </c>
      <c r="AA504">
        <v>0.314</v>
      </c>
      <c r="AB504">
        <v>0.307</v>
      </c>
      <c r="AC504">
        <v>0.621</v>
      </c>
      <c r="AD504">
        <v>21</v>
      </c>
      <c r="AE504">
        <v>0.32500000000000001</v>
      </c>
      <c r="AF504">
        <v>0.25</v>
      </c>
      <c r="AG504">
        <f>(표1[[#This Row],[TB]]-표1[[#This Row],[H]])/표1[[#This Row],[AB]]</f>
        <v>7.2222222222222215E-2</v>
      </c>
      <c r="AH504">
        <f>(표1[[#This Row],[TB]]-표1[[#This Row],[H]]+표1[[#This Row],[BB]]+표1[[#This Row],[SB]]-표1[[#This Row],[CS]])/표1[[#This Row],[AB]]</f>
        <v>0.19444444444444445</v>
      </c>
      <c r="AI504">
        <f>(표1[[#This Row],[TB]]+표1[[#This Row],[BB]]+표1[[#This Row],[HBP]]+표1[[#This Row],[SB]]-표1[[#This Row],[CS]])/(표1[[#This Row],[AB]]-표1[[#This Row],[H]]+표1[[#This Row],[CS]]+표1[[#This Row],[GDP]])</f>
        <v>0.54513888888888884</v>
      </c>
      <c r="AJ50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36.474643734643735</v>
      </c>
      <c r="AK504">
        <f>표1[[#This Row],[RC]]/((표1[[#This Row],[AB]]-표1[[#This Row],[H]]+표1[[#This Row],[SAC]]+표1[[#This Row],[SF]]+표1[[#This Row],[CS]]+표1[[#This Row],[GDP]])/27)</f>
        <v>3.2827179361179364</v>
      </c>
      <c r="AL50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0.27845979899497486</v>
      </c>
      <c r="AM50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36.875999999999998</v>
      </c>
    </row>
    <row r="505" spans="1:39" x14ac:dyDescent="0.3">
      <c r="A505" t="str">
        <f>_xlfn.CONCAT(표1[[#This Row],[Year]],표1[[#This Row],[Player]])</f>
        <v>2013강민호</v>
      </c>
      <c r="B505">
        <v>2013</v>
      </c>
      <c r="C505">
        <v>47</v>
      </c>
      <c r="D505" t="s">
        <v>83</v>
      </c>
      <c r="E505" t="s">
        <v>17</v>
      </c>
      <c r="F505">
        <v>0.23499999999999999</v>
      </c>
      <c r="G505">
        <v>105</v>
      </c>
      <c r="H505">
        <v>405</v>
      </c>
      <c r="I505">
        <v>327</v>
      </c>
      <c r="J505">
        <v>48</v>
      </c>
      <c r="K505">
        <v>77</v>
      </c>
      <c r="L505">
        <f>표1[[#This Row],[H]]-표1[[#This Row],[2B]]-표1[[#This Row],[3B]]-표1[[#This Row],[HR]]</f>
        <v>53</v>
      </c>
      <c r="M505">
        <v>13</v>
      </c>
      <c r="N505">
        <v>0</v>
      </c>
      <c r="O505">
        <v>11</v>
      </c>
      <c r="P505">
        <v>123</v>
      </c>
      <c r="Q505">
        <v>57</v>
      </c>
      <c r="R505">
        <v>1</v>
      </c>
      <c r="S505">
        <v>6</v>
      </c>
      <c r="T505">
        <v>60</v>
      </c>
      <c r="U505">
        <v>3</v>
      </c>
      <c r="V505">
        <v>4</v>
      </c>
      <c r="W505">
        <v>1</v>
      </c>
      <c r="X505">
        <v>11</v>
      </c>
      <c r="Y505">
        <v>87</v>
      </c>
      <c r="Z505">
        <v>5</v>
      </c>
      <c r="AA505">
        <v>0.376</v>
      </c>
      <c r="AB505">
        <v>0.36599999999999999</v>
      </c>
      <c r="AC505">
        <v>0.74199999999999999</v>
      </c>
      <c r="AD505">
        <v>17</v>
      </c>
      <c r="AE505">
        <v>0.25900000000000001</v>
      </c>
      <c r="AF505">
        <v>0</v>
      </c>
      <c r="AG505">
        <f>(표1[[#This Row],[TB]]-표1[[#This Row],[H]])/표1[[#This Row],[AB]]</f>
        <v>0.14067278287461774</v>
      </c>
      <c r="AH505">
        <f>(표1[[#This Row],[TB]]-표1[[#This Row],[H]]+표1[[#This Row],[BB]]+표1[[#This Row],[SB]]-표1[[#This Row],[CS]])/표1[[#This Row],[AB]]</f>
        <v>0.33333333333333331</v>
      </c>
      <c r="AI505">
        <f>(표1[[#This Row],[TB]]+표1[[#This Row],[BB]]+표1[[#This Row],[HBP]]+표1[[#This Row],[SB]]-표1[[#This Row],[CS]])/(표1[[#This Row],[AB]]-표1[[#This Row],[H]]+표1[[#This Row],[CS]]+표1[[#This Row],[GDP]])</f>
        <v>0.76953125</v>
      </c>
      <c r="AJ50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51.330370370370368</v>
      </c>
      <c r="AK505">
        <f>표1[[#This Row],[RC]]/((표1[[#This Row],[AB]]-표1[[#This Row],[H]]+표1[[#This Row],[SAC]]+표1[[#This Row],[SF]]+표1[[#This Row],[CS]]+표1[[#This Row],[GDP]])/27)</f>
        <v>5.2696577946768057</v>
      </c>
      <c r="AL50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0.33206982543640895</v>
      </c>
      <c r="AM50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53.183999999999997</v>
      </c>
    </row>
    <row r="506" spans="1:39" x14ac:dyDescent="0.3">
      <c r="A506" t="str">
        <f>_xlfn.CONCAT(표1[[#This Row],[Year]],표1[[#This Row],[Player]])</f>
        <v>2013권희동</v>
      </c>
      <c r="B506">
        <v>2013</v>
      </c>
      <c r="C506">
        <v>48</v>
      </c>
      <c r="D506" t="s">
        <v>160</v>
      </c>
      <c r="E506" t="s">
        <v>152</v>
      </c>
      <c r="F506">
        <v>0.20300000000000001</v>
      </c>
      <c r="G506">
        <v>121</v>
      </c>
      <c r="H506">
        <v>397</v>
      </c>
      <c r="I506">
        <v>349</v>
      </c>
      <c r="J506">
        <v>42</v>
      </c>
      <c r="K506">
        <v>71</v>
      </c>
      <c r="L506">
        <f>표1[[#This Row],[H]]-표1[[#This Row],[2B]]-표1[[#This Row],[3B]]-표1[[#This Row],[HR]]</f>
        <v>36</v>
      </c>
      <c r="M506">
        <v>19</v>
      </c>
      <c r="N506">
        <v>1</v>
      </c>
      <c r="O506">
        <v>15</v>
      </c>
      <c r="P506">
        <v>137</v>
      </c>
      <c r="Q506">
        <v>54</v>
      </c>
      <c r="R506">
        <v>7</v>
      </c>
      <c r="S506">
        <v>3</v>
      </c>
      <c r="T506">
        <v>36</v>
      </c>
      <c r="U506">
        <v>0</v>
      </c>
      <c r="V506">
        <v>4</v>
      </c>
      <c r="W506">
        <v>1</v>
      </c>
      <c r="X506">
        <v>2</v>
      </c>
      <c r="Y506">
        <v>75</v>
      </c>
      <c r="Z506">
        <v>6</v>
      </c>
      <c r="AA506">
        <v>0.39300000000000002</v>
      </c>
      <c r="AB506">
        <v>0.27900000000000003</v>
      </c>
      <c r="AC506">
        <v>0.67200000000000004</v>
      </c>
      <c r="AD506">
        <v>14</v>
      </c>
      <c r="AE506">
        <v>0.23699999999999999</v>
      </c>
      <c r="AF506">
        <v>0.308</v>
      </c>
      <c r="AG506">
        <f>(표1[[#This Row],[TB]]-표1[[#This Row],[H]])/표1[[#This Row],[AB]]</f>
        <v>0.18911174785100288</v>
      </c>
      <c r="AH506">
        <f>(표1[[#This Row],[TB]]-표1[[#This Row],[H]]+표1[[#This Row],[BB]]+표1[[#This Row],[SB]]-표1[[#This Row],[CS]])/표1[[#This Row],[AB]]</f>
        <v>0.3008595988538682</v>
      </c>
      <c r="AI506">
        <f>(표1[[#This Row],[TB]]+표1[[#This Row],[BB]]+표1[[#This Row],[HBP]]+표1[[#This Row],[SB]]-표1[[#This Row],[CS]])/(표1[[#This Row],[AB]]-표1[[#This Row],[H]]+표1[[#This Row],[CS]]+표1[[#This Row],[GDP]])</f>
        <v>0.62456140350877198</v>
      </c>
      <c r="AJ50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39.607858942065491</v>
      </c>
      <c r="AK506">
        <f>표1[[#This Row],[RC]]/((표1[[#This Row],[AB]]-표1[[#This Row],[H]]+표1[[#This Row],[SAC]]+표1[[#This Row],[SF]]+표1[[#This Row],[CS]]+표1[[#This Row],[GDP]])/27)</f>
        <v>3.6251260726636212</v>
      </c>
      <c r="AL50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0.29356410256410259</v>
      </c>
      <c r="AM50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41.189999999999991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F2E3E837D326B428EDEBC1C075745BD" ma:contentTypeVersion="12" ma:contentTypeDescription="새 문서를 만듭니다." ma:contentTypeScope="" ma:versionID="cc85cb73a00f0fcff607d1e783dfd5bb">
  <xsd:schema xmlns:xsd="http://www.w3.org/2001/XMLSchema" xmlns:xs="http://www.w3.org/2001/XMLSchema" xmlns:p="http://schemas.microsoft.com/office/2006/metadata/properties" xmlns:ns2="4c8849ae-c25f-4ddf-bbbc-3a374ffa6d46" xmlns:ns3="64036074-d3a6-4519-81fc-40384d8c4feb" targetNamespace="http://schemas.microsoft.com/office/2006/metadata/properties" ma:root="true" ma:fieldsID="cf215f5c221ac6cb56d2b1923e8b4ffd" ns2:_="" ns3:_="">
    <xsd:import namespace="4c8849ae-c25f-4ddf-bbbc-3a374ffa6d46"/>
    <xsd:import namespace="64036074-d3a6-4519-81fc-40384d8c4f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8849ae-c25f-4ddf-bbbc-3a374ffa6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36074-d3a6-4519-81fc-40384d8c4fe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5e5b2a4-4f05-4585-960b-d0cb868f31f5}" ma:internalName="TaxCatchAll" ma:showField="CatchAllData" ma:web="64036074-d3a6-4519-81fc-40384d8c4f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036074-d3a6-4519-81fc-40384d8c4feb" xsi:nil="true"/>
    <lcf76f155ced4ddcb4097134ff3c332f xmlns="4c8849ae-c25f-4ddf-bbbc-3a374ffa6d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7D1533-AA0F-4FA6-9077-10A91E260C00}"/>
</file>

<file path=customXml/itemProps2.xml><?xml version="1.0" encoding="utf-8"?>
<ds:datastoreItem xmlns:ds="http://schemas.openxmlformats.org/officeDocument/2006/customXml" ds:itemID="{C1F25207-F513-4FFE-8F59-B7A72CE49A82}"/>
</file>

<file path=customXml/itemProps3.xml><?xml version="1.0" encoding="utf-8"?>
<ds:datastoreItem xmlns:ds="http://schemas.openxmlformats.org/officeDocument/2006/customXml" ds:itemID="{1AA14E75-23DE-4A2B-B77A-EA8485690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SEUNGJOON KIM</dc:creator>
  <cp:lastModifiedBy>SEUNGJOON KIM</cp:lastModifiedBy>
  <dcterms:created xsi:type="dcterms:W3CDTF">2023-03-18T07:30:51Z</dcterms:created>
  <dcterms:modified xsi:type="dcterms:W3CDTF">2023-03-18T08:22:39Z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0x0101009F2E3E837D326B428EDEBC1C075745BD</vt:lpwstr>
  </property>
</Properties>
</file>